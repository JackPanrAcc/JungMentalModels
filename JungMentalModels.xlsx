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460" windowHeight="17680" tabRatio="677" firstSheet="1"/>
  </bookViews>
  <sheets>
    <sheet name="Reflections2026" sheetId="6" r:id="rId1"/>
    <sheet name="JungMentalModels" sheetId="1" r:id="rId2"/>
    <sheet name="AcademicModels" sheetId="8" r:id="rId3"/>
    <sheet name="3Articles4JapCultural" sheetId="5" r:id="rId4"/>
    <sheet name="Sheet2"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65" name="ID_96C1024DCF994B94BC60313E1672C860"/>
        <xdr:cNvPicPr>
          <a:picLocks noChangeAspect="1"/>
        </xdr:cNvPicPr>
      </xdr:nvPicPr>
      <xdr:blipFill>
        <a:blip r:embed="rId1" r:link="rId2"/>
        <a:srcRect l="9558" t="8664" r="9330" b="8840"/>
        <a:stretch>
          <a:fillRect/>
        </a:stretch>
      </xdr:blipFill>
      <xdr:spPr>
        <a:xfrm>
          <a:off x="8399780" y="3075305"/>
          <a:ext cx="3855085" cy="3948430"/>
        </a:xfrm>
        <a:prstGeom prst="rect">
          <a:avLst/>
        </a:prstGeom>
        <a:noFill/>
        <a:ln>
          <a:noFill/>
        </a:ln>
      </xdr:spPr>
    </xdr:pic>
  </etc:cellImage>
  <etc:cellImage>
    <xdr:pic>
      <xdr:nvPicPr>
        <xdr:cNvPr id="2" name="ID_234EB9749BBE4F0186998ADBD17A81D7" descr="56bdeef8904b04727eb1d35c82cd760e"/>
        <xdr:cNvPicPr>
          <a:picLocks noChangeAspect="1"/>
        </xdr:cNvPicPr>
      </xdr:nvPicPr>
      <xdr:blipFill>
        <a:blip r:embed="rId3"/>
        <a:stretch>
          <a:fillRect/>
        </a:stretch>
      </xdr:blipFill>
      <xdr:spPr>
        <a:xfrm>
          <a:off x="167005" y="90170"/>
          <a:ext cx="12600305" cy="9093200"/>
        </a:xfrm>
        <a:prstGeom prst="rect">
          <a:avLst/>
        </a:prstGeom>
      </xdr:spPr>
    </xdr:pic>
  </etc:cellImage>
</etc:cellImages>
</file>

<file path=xl/sharedStrings.xml><?xml version="1.0" encoding="utf-8"?>
<sst xmlns="http://schemas.openxmlformats.org/spreadsheetml/2006/main" count="531" uniqueCount="466">
  <si>
    <r>
      <rPr>
        <sz val="80"/>
        <rFont val="宋体"/>
        <charset val="134"/>
      </rPr>
      <t>《</t>
    </r>
    <r>
      <rPr>
        <sz val="100"/>
        <rFont val="宋体"/>
        <charset val="134"/>
      </rPr>
      <t>诸心法门</t>
    </r>
    <r>
      <rPr>
        <sz val="80"/>
        <rFont val="宋体"/>
        <charset val="134"/>
      </rPr>
      <t>》</t>
    </r>
    <r>
      <rPr>
        <sz val="100"/>
        <rFont val="宋体"/>
        <charset val="134"/>
      </rPr>
      <t>2篇</t>
    </r>
    <r>
      <rPr>
        <sz val="100"/>
        <rFont val="方正仿宋_GBK"/>
        <charset val="134"/>
      </rPr>
      <t xml:space="preserve">
怯主权</t>
    </r>
    <r>
      <rPr>
        <sz val="100"/>
        <rFont val="宋体"/>
        <charset val="134"/>
      </rPr>
      <t>=&gt;</t>
    </r>
    <r>
      <rPr>
        <sz val="100"/>
        <rFont val="方正仿宋_GBK"/>
        <charset val="134"/>
      </rPr>
      <t>勤勉地热爱</t>
    </r>
  </si>
  <si>
    <r>
      <rPr>
        <sz val="80"/>
        <rFont val="宋体"/>
        <charset val="134"/>
      </rPr>
      <t>《</t>
    </r>
    <r>
      <rPr>
        <sz val="100"/>
        <rFont val="宋体"/>
        <charset val="134"/>
      </rPr>
      <t>成人札记初心版2026</t>
    </r>
    <r>
      <rPr>
        <sz val="80"/>
        <rFont val="宋体"/>
        <charset val="134"/>
      </rPr>
      <t>》</t>
    </r>
    <r>
      <rPr>
        <sz val="100"/>
        <rFont val="宋体"/>
        <charset val="134"/>
      </rPr>
      <t>5篇</t>
    </r>
    <r>
      <rPr>
        <sz val="100"/>
        <rFont val="方正仿宋_GBK"/>
        <charset val="134"/>
      </rPr>
      <t xml:space="preserve">
直面名利场=&gt;耦合到永续性的心智模型</t>
    </r>
  </si>
  <si>
    <r>
      <t>心智 = 自由能
价值 = 巨婴动力学(</t>
    </r>
    <r>
      <rPr>
        <sz val="72"/>
        <rFont val="方正仿宋_GBK"/>
        <charset val="134"/>
      </rPr>
      <t>审慎语义延拓，社会主流协作框架对应的伦理</t>
    </r>
    <r>
      <rPr>
        <sz val="90"/>
        <rFont val="方正仿宋_GBK"/>
        <charset val="134"/>
      </rPr>
      <t xml:space="preserve">)
</t>
    </r>
    <r>
      <rPr>
        <i/>
        <sz val="70"/>
        <color theme="1" tint="0.35"/>
        <rFont val="FZFangSong-Z02"/>
        <charset val="134"/>
      </rPr>
      <t>审慎语义延拓中的语义是</t>
    </r>
    <r>
      <rPr>
        <i/>
        <sz val="70"/>
        <color theme="1" tint="0.35"/>
        <rFont val="方正仿宋_GBK"/>
        <charset val="134"/>
      </rPr>
      <t>指</t>
    </r>
    <r>
      <rPr>
        <i/>
        <sz val="70"/>
        <color theme="1" tint="0.35"/>
        <rFont val="FZFangSong-Z02"/>
        <charset val="134"/>
      </rPr>
      <t>索绪尔所指signified</t>
    </r>
    <r>
      <rPr>
        <i/>
        <sz val="70"/>
        <color theme="1" tint="0.35"/>
        <rFont val="方正仿宋_GBK"/>
        <charset val="134"/>
      </rPr>
      <t>。
审慎语义延拓中的审慎性是指测度概念的稳定性。
审慎语义延拓中的</t>
    </r>
    <r>
      <rPr>
        <i/>
        <sz val="70"/>
        <color theme="1" tint="0.35"/>
        <rFont val="FZFangSong-Z02"/>
        <charset val="134"/>
      </rPr>
      <t>延拓</t>
    </r>
    <r>
      <rPr>
        <i/>
        <sz val="70"/>
        <color theme="1" tint="0.35"/>
        <rFont val="方正仿宋_GBK"/>
        <charset val="134"/>
      </rPr>
      <t xml:space="preserve">是指框定适用范围内没有奇异点。
</t>
    </r>
    <r>
      <rPr>
        <sz val="90"/>
        <rFont val="方正仿宋_GBK"/>
        <charset val="134"/>
      </rPr>
      <t>主权 = 包含算力不足的脑筋急转弯、智能个体自评的价值梯度
巨婴眼高手低，
算力不足误把漂亮话、决策链熵梯度视为主权梯度。
每个巨婴是一个自由能的泵结构。</t>
    </r>
    <r>
      <rPr>
        <sz val="30"/>
        <rFont val="方正仿宋_GBK"/>
        <charset val="134"/>
      </rPr>
      <t xml:space="preserve">
</t>
    </r>
    <r>
      <rPr>
        <sz val="90"/>
        <rFont val="方正仿宋_GBK"/>
        <charset val="134"/>
      </rPr>
      <t xml:space="preserve">对孩子阐明逻辑链并无效用，
切换到自由能的视角，需要提高孩子能量活力抗挫折。
感性决策的强势者收手、孩子板正。这是“提高能量”的前提。
</t>
    </r>
    <r>
      <rPr>
        <sz val="30"/>
        <rFont val="方正仿宋_GBK"/>
        <charset val="134"/>
      </rPr>
      <t xml:space="preserve">
</t>
    </r>
    <r>
      <rPr>
        <sz val="90"/>
        <rFont val="方正仿宋_GBK"/>
        <charset val="134"/>
      </rPr>
      <t>这里没有阴谋。只有最适合自己的脑回路的生活方式。
马尔可夫毯内，
动作层完全失能是阴性神经病症。
直觉算力无法应对复杂度、且拒绝理性代偿是阳性神经病症。
坚持精进而疏于自省的碳基人，
其终点是自由能最低的〖</t>
    </r>
    <r>
      <rPr>
        <sz val="90"/>
        <color rgb="FFFF0000"/>
        <rFont val="方正仿宋_GBK"/>
        <charset val="134"/>
      </rPr>
      <t>副交感违禁品</t>
    </r>
    <r>
      <rPr>
        <sz val="90"/>
        <rFont val="方正仿宋_GBK"/>
        <charset val="134"/>
      </rPr>
      <t>〗。
要么，放缓精进〖</t>
    </r>
    <r>
      <rPr>
        <sz val="90"/>
        <color rgb="FFFF0000"/>
        <rFont val="方正仿宋_GBK"/>
        <charset val="134"/>
      </rPr>
      <t>怯主权</t>
    </r>
    <r>
      <rPr>
        <sz val="90"/>
        <rFont val="方正仿宋_GBK"/>
        <charset val="134"/>
      </rPr>
      <t>〗。
要么，〖</t>
    </r>
    <r>
      <rPr>
        <sz val="90"/>
        <color rgb="FFFF0000"/>
        <rFont val="方正仿宋_GBK"/>
        <charset val="134"/>
      </rPr>
      <t>基准于某客体性、进行人格重建</t>
    </r>
    <r>
      <rPr>
        <sz val="90"/>
        <rFont val="方正仿宋_GBK"/>
        <charset val="134"/>
      </rPr>
      <t>〗。</t>
    </r>
  </si>
  <si>
    <r>
      <rPr>
        <sz val="16"/>
        <rFont val="宋体"/>
        <charset val="134"/>
      </rPr>
      <t>《2026家书</t>
    </r>
    <r>
      <rPr>
        <sz val="16"/>
        <rFont val="冬青黑体简体中文"/>
        <charset val="134"/>
      </rPr>
      <t>・</t>
    </r>
    <r>
      <rPr>
        <sz val="16"/>
        <rFont val="宋体"/>
        <charset val="134"/>
      </rPr>
      <t>诸心法门》上篇｜牵挂：一个梦</t>
    </r>
    <r>
      <rPr>
        <i/>
        <sz val="10.5"/>
        <color rgb="FF808080"/>
        <rFont val="方正仿宋_GBK"/>
        <charset val="134"/>
      </rPr>
      <t xml:space="preserve">
1、六条妃子因牵挂现身陋巷。夕颜因牵挂左右为难。但是，性格摆在这、她们只会如此这般对话。
2、人和人的边界在哪里？如果是初心，我们在讨论“有效沟通”。信由诈生，因信称义，所谓初心是依靠“有效沟通”增加纠偏力之后的“信”。相信的力量足以引导我们热爱生活和工作。
3、人和人的边界在哪里？如果是留白前提下的牵挂叙事，即妄执法门，我在讨论心流的冲撞。</t>
    </r>
  </si>
  <si>
    <r>
      <rPr>
        <sz val="16"/>
        <rFont val="宋体"/>
        <charset val="134"/>
      </rPr>
      <t>《2026家书</t>
    </r>
    <r>
      <rPr>
        <sz val="16"/>
        <rFont val="冬青黑体简体中文"/>
        <charset val="134"/>
      </rPr>
      <t>・</t>
    </r>
    <r>
      <rPr>
        <sz val="16"/>
        <rFont val="宋体"/>
        <charset val="134"/>
      </rPr>
      <t>诸心法门》下篇｜说心：楞严经第四卷的读书笔记</t>
    </r>
    <r>
      <rPr>
        <sz val="10"/>
        <rFont val="宋体"/>
        <charset val="134"/>
      </rPr>
      <t xml:space="preserve">   jackpanr@260710</t>
    </r>
    <r>
      <rPr>
        <i/>
        <sz val="10.5"/>
        <color rgb="FF808080"/>
        <rFont val="方正仿宋_GBK"/>
        <charset val="134"/>
      </rPr>
      <t xml:space="preserve">
辨妄之后，可以依耳根圆通次第修行、疏远魔境，长此义往直至成佛。</t>
    </r>
  </si>
  <si>
    <r>
      <rPr>
        <sz val="15"/>
        <rFont val="宋体"/>
        <charset val="134"/>
      </rPr>
      <t>《成人札记初心版 Red红尘篇</t>
    </r>
    <r>
      <rPr>
        <sz val="15"/>
        <rFont val="冬青黑体简体中文"/>
        <charset val="134"/>
      </rPr>
      <t>・</t>
    </r>
    <r>
      <rPr>
        <sz val="15"/>
        <rFont val="宋体"/>
        <charset val="134"/>
      </rPr>
      <t>奥德赛2026》初迈红尘头十年: 战斗，一直到主权的灯塔</t>
    </r>
    <r>
      <rPr>
        <i/>
        <sz val="10"/>
        <rFont val="宋体"/>
        <charset val="134"/>
      </rPr>
      <t xml:space="preserve"> ---jackpanr@260925</t>
    </r>
    <r>
      <rPr>
        <i/>
        <sz val="10"/>
        <color rgb="FF808080"/>
        <rFont val="方正仿宋_GBK"/>
        <charset val="134"/>
      </rPr>
      <t xml:space="preserve">
(a) 风口从业者直接阅读本篇。传统从业者先看薪酬水准: 低于当地政府公布的人均薪资请读楞严；低于两倍可以阅读；低于五倍可以将文中俗语更换成“现代管理学规范术语”可以使阅读更加得体；待遇更高按需即可，例如基于“公允的产业运营框架”度量特定组织某次经营会议上的“信噪比”，即“正反提脱谣五维控场强度”</t>
    </r>
  </si>
  <si>
    <r>
      <rPr>
        <sz val="15"/>
        <rFont val="宋体"/>
        <charset val="134"/>
      </rPr>
      <t>《成人札记初心版 Green汉青篇</t>
    </r>
    <r>
      <rPr>
        <sz val="15"/>
        <rFont val="冬青黑体简体中文"/>
        <charset val="134"/>
      </rPr>
      <t>・</t>
    </r>
    <r>
      <rPr>
        <sz val="15"/>
        <rFont val="宋体"/>
        <charset val="134"/>
      </rPr>
      <t>特洛伊2026》中国文化妥协性的兴起背景: 朱熹谋政时的形势</t>
    </r>
    <r>
      <rPr>
        <i/>
        <sz val="9.5"/>
        <rFont val="宋体"/>
        <charset val="134"/>
      </rPr>
      <t>jackpanr@260925</t>
    </r>
    <r>
      <rPr>
        <i/>
        <sz val="10"/>
        <color rgb="FF808080"/>
        <rFont val="方正仿宋_GBK"/>
        <charset val="134"/>
      </rPr>
      <t xml:space="preserve">
(a) </t>
    </r>
    <r>
      <rPr>
        <i/>
        <sz val="10.5"/>
        <color rgb="FF808080"/>
        <rFont val="方正仿宋_GBK"/>
        <charset val="134"/>
      </rPr>
      <t>在成人札记初心版系列文字中，本文介绍《主权张力模型》、《代偿的荣格心智模型》这两个概念，以及其最初开始流传的背景。
(b) 问：王阳明是颠覆程朱理学，还是进化程朱理学？心若是心境和个体决策力则是颠覆，类似南韩文化视角。具备宗教性的人，看心是阿赖耶则是进化
(c) 朱熹是迂腐的路径依赖妥协性。王阳明在此基础上增加了灵活度，形成完整的后期儒学内观框架，这就是「儒式心学」</t>
    </r>
    <r>
      <rPr>
        <i/>
        <sz val="10.5"/>
        <color rgb="FF808080"/>
        <rFont val="宋体"/>
        <charset val="134"/>
      </rPr>
      <t>。</t>
    </r>
  </si>
  <si>
    <r>
      <rPr>
        <sz val="15"/>
        <rFont val="宋体"/>
        <charset val="134"/>
      </rPr>
      <t>《成人札记初心版 Blue蔚蓝篇</t>
    </r>
    <r>
      <rPr>
        <sz val="15"/>
        <rFont val="冬青黑体简体中文"/>
        <charset val="134"/>
      </rPr>
      <t>・</t>
    </r>
    <r>
      <rPr>
        <sz val="15"/>
        <rFont val="宋体"/>
        <charset val="134"/>
      </rPr>
      <t xml:space="preserve">时代2026》新存在主义：全域共识的收敛趋势与主权代偿  </t>
    </r>
    <r>
      <rPr>
        <i/>
        <sz val="9.5"/>
        <rFont val="宋体"/>
        <charset val="134"/>
      </rPr>
      <t>jackpanr@260925</t>
    </r>
    <r>
      <rPr>
        <i/>
        <sz val="10"/>
        <color rgb="FF808080"/>
        <rFont val="方正仿宋_GBK"/>
        <charset val="134"/>
      </rPr>
      <t xml:space="preserve">
</t>
    </r>
    <r>
      <rPr>
        <i/>
        <sz val="10.5"/>
        <color rgb="FF808080"/>
        <rFont val="方正仿宋_GBK"/>
        <charset val="134"/>
      </rPr>
      <t>(a) 在成人札记初心版系列文字中，本篇文字中的第1-19条正式阐述核心思想体系，可以只阅读此部分。
(b) 本文1-9条为学术届一些观点的依赖性清单。10-19条构建思想体系。20-25探讨文化天花板，26-29探讨生产力基线，30-41条是探讨形式逻辑硬上限。
(c) 昂撒的核心特征是责权一致强延拓。伊斯兰首要特征是保守性，保守性是责权一致性范式的碎片化。中华儒学是“中庸-代偿-资源寻租”范式内聚。
(d) 教育的目标是培养更高效利用一切学习工具的学习型人才、促进思考深度。半环构型算力普及之后昂撒中华伊斯兰将在同一框架内度量并进行协作。
    算力降本必然推动名利场中社交的脱实入虚、逐步实现“收敛性押宝”型生产关系。</t>
    </r>
  </si>
  <si>
    <r>
      <rPr>
        <sz val="15"/>
        <rFont val="宋体"/>
        <charset val="134"/>
        <scheme val="minor"/>
      </rPr>
      <t>《成人札记初心版Alpha透明篇・做规矩2026》未来:标准模型是目前最确凿的审慎语义延拓的种子</t>
    </r>
    <r>
      <rPr>
        <sz val="9.5"/>
        <rFont val="宋体"/>
        <charset val="134"/>
        <scheme val="minor"/>
      </rPr>
      <t xml:space="preserve"> jackpanr@260925</t>
    </r>
    <r>
      <rPr>
        <i/>
        <sz val="10"/>
        <color rgb="FF808080"/>
        <rFont val="宋体"/>
        <charset val="134"/>
        <scheme val="minor"/>
      </rPr>
      <t xml:space="preserve">
</t>
    </r>
    <r>
      <rPr>
        <i/>
        <sz val="10.5"/>
        <color rgb="FF808080"/>
        <rFont val="方正仿宋_GBK"/>
        <charset val="134"/>
      </rPr>
      <t>(a) 在成人札记初心版系列文字中，本文深化探讨心智模型。
(b) 在接待“基于感性情结决策的强势者”过程中，荣格以信息熵为切面、</t>
    </r>
    <r>
      <rPr>
        <i/>
        <sz val="10.5"/>
        <color theme="0" tint="-0.5"/>
        <rFont val="方正仿宋_GBK"/>
        <charset val="134"/>
      </rPr>
      <t>厘清颅内工况动作后</t>
    </r>
    <r>
      <rPr>
        <i/>
        <sz val="10.5"/>
        <color rgb="FF808080"/>
        <rFont val="方正仿宋_GBK"/>
        <charset val="134"/>
      </rPr>
      <t>形成了原型体系。该系准确对位弗里斯顿自由能框架。
  「泛函自由能」是在测度的内核外包裹一层概率分布的数学结构。这是被泛化后的测度，这是计算神经学中公认的「智能个体主观性的数学结构」
(c) 探讨量子标准模型的唯一结论</t>
    </r>
    <r>
      <rPr>
        <i/>
        <sz val="10.5"/>
        <color rgb="FF808080"/>
        <rFont val="宋体"/>
        <charset val="134"/>
        <scheme val="minor"/>
      </rPr>
      <t>“</t>
    </r>
    <r>
      <rPr>
        <i/>
        <sz val="10.5"/>
        <color rgb="FF808080"/>
        <rFont val="方正仿宋_GBK"/>
        <charset val="134"/>
      </rPr>
      <t>目前仅允许种子式讨论审慎</t>
    </r>
    <r>
      <rPr>
        <i/>
        <sz val="10.5"/>
        <color rgb="FF808080"/>
        <rFont val="宋体"/>
        <charset val="134"/>
        <scheme val="minor"/>
      </rPr>
      <t>”</t>
    </r>
    <r>
      <rPr>
        <i/>
        <sz val="10.5"/>
        <color rgb="FF808080"/>
        <rFont val="方正仿宋_GBK"/>
        <charset val="134"/>
      </rPr>
      <t>。</t>
    </r>
    <r>
      <rPr>
        <b/>
        <i/>
        <sz val="10.5"/>
        <rFont val="方正仿宋_GBK"/>
        <charset val="134"/>
      </rPr>
      <t>可在信息熵上下文中分别讨论，不必强行缝合量子标准模型和自由能心智模型</t>
    </r>
    <r>
      <rPr>
        <i/>
        <sz val="10.5"/>
        <color theme="0" tint="-0.5"/>
        <rFont val="FZFangSong-Z02"/>
        <charset val="134"/>
      </rPr>
      <t>。
    即便2026年，实验能证明波粒二象性和探测器结果相关，和探测器的空间位置无关。实验未能确凿证明时域特性。
    如7.3的总结：不得不承认，量子佯谬是诺依曼链的解。但审慎口径则是，这是仅达到可靠性的理论中、掺进假设的完备性的性质进行推导。
    泡利在此工作中表现不够审慎。荣格为兼顾同事同意了不当扩容、严重掺入噪音。原文中共时性定义被劣化成为"非因果有意义的巧合。"
(d) 总结：本文探讨荣格泡利一元两面。一元是指信息熵。内面指心智视角的信息熵「泛函自由能」。外面指物理视角的信息熵，目前只能谈审慎性</t>
    </r>
  </si>
  <si>
    <t>以下内容是笔者个人体验。笔者是佛法爱好者，不是正统的佛教徒</t>
  </si>
  <si>
    <t>唯识宗 = {三自性} + {种子现行;八识心王;万法唯识} + {五位百法} + {唯识四分}</t>
  </si>
  <si>
    <r>
      <rPr>
        <i/>
        <sz val="10"/>
        <color rgb="FF808080"/>
        <rFont val="方正仿宋_GB2312"/>
        <charset val="134"/>
      </rPr>
      <t>(b)自由并非基于“纯粹的个体意志: 人种群DNA决定的一切特征”，而是基于路线和合作。世上有三条路线：目前未闭环的路、你现在想走的新路、别人预先设置的路
   30几岁如果站稳中层可以了解一下从主权灯塔视角看“</t>
    </r>
    <r>
      <rPr>
        <i/>
        <sz val="10"/>
        <color rgb="FFFF0000"/>
        <rFont val="方正仿宋_GB2312"/>
        <charset val="134"/>
      </rPr>
      <t>六事、三位、依赖性</t>
    </r>
    <r>
      <rPr>
        <i/>
        <sz val="10"/>
        <color rgb="FF808080"/>
        <rFont val="方正仿宋_GB2312"/>
        <charset val="134"/>
      </rPr>
      <t>”。如果月薪7k“</t>
    </r>
    <r>
      <rPr>
        <i/>
        <sz val="10"/>
        <color rgb="FFFF0000"/>
        <rFont val="方正仿宋_GB2312"/>
        <charset val="134"/>
      </rPr>
      <t>看清趋势轻重的前提下勤勉地保持热爱</t>
    </r>
    <r>
      <rPr>
        <i/>
        <sz val="10"/>
        <color rgb="FF808080"/>
        <rFont val="方正仿宋_GB2312"/>
        <charset val="134"/>
      </rPr>
      <t>”
   健康的文化一定有适度的阶层流动，一般是在创新产业再分配机制、或权力提拔机制、等。这些地方是水最深的地方，尤需关注主权灯塔</t>
    </r>
  </si>
  <si>
    <r>
      <rPr>
        <sz val="11.5"/>
        <color rgb="FF262626"/>
        <rFont val="宋体"/>
        <charset val="134"/>
      </rPr>
      <t xml:space="preserve">{三自性} = </t>
    </r>
    <r>
      <rPr>
        <u/>
        <sz val="12.5"/>
        <rFont val="黑体"/>
        <charset val="134"/>
      </rPr>
      <t>圆成实性</t>
    </r>
    <r>
      <rPr>
        <sz val="12.5"/>
        <color rgb="FF333333"/>
        <rFont val="宋体"/>
        <charset val="134"/>
      </rPr>
      <t xml:space="preserve"> + </t>
    </r>
    <r>
      <rPr>
        <u/>
        <sz val="12.5"/>
        <rFont val="黑体"/>
        <charset val="134"/>
      </rPr>
      <t>遍计所执性</t>
    </r>
    <r>
      <rPr>
        <sz val="12.5"/>
        <color rgb="FF333333"/>
        <rFont val="宋体"/>
        <charset val="134"/>
      </rPr>
      <t xml:space="preserve"> + </t>
    </r>
    <r>
      <rPr>
        <u/>
        <sz val="12.5"/>
        <rFont val="黑体"/>
        <charset val="134"/>
      </rPr>
      <t>依他起性</t>
    </r>
  </si>
  <si>
    <t>国
防
概
况</t>
  </si>
  <si>
    <t>南宋军=江淮近15w+京湖近8w+四川近10w。历史上，南水军强、北陆战强则对峙格局可以长期存在，南宋国防正是水军强</t>
  </si>
  <si>
    <r>
      <rPr>
        <sz val="12"/>
        <rFont val="宋体"/>
        <charset val="134"/>
      </rPr>
      <t>记得2017 的春天在京都游历，夜宿「</t>
    </r>
    <r>
      <rPr>
        <sz val="12.5"/>
        <rFont val="黑体"/>
        <charset val="134"/>
      </rPr>
      <t>源融院址</t>
    </r>
    <r>
      <rPr>
        <sz val="12"/>
        <rFont val="宋体"/>
        <charset val="134"/>
      </rPr>
      <t>」，那一晚，我做了一个梦。</t>
    </r>
    <r>
      <rPr>
        <sz val="3"/>
        <rFont val="宋体"/>
        <charset val="134"/>
      </rPr>
      <t xml:space="preserve">
</t>
    </r>
    <r>
      <rPr>
        <sz val="12"/>
        <rFont val="宋体"/>
        <charset val="134"/>
      </rPr>
      <t>时值盂兰盆节，六条妃子在「</t>
    </r>
    <r>
      <rPr>
        <sz val="12.5"/>
        <rFont val="黑体"/>
        <charset val="134"/>
      </rPr>
      <t>嵯峨野</t>
    </r>
    <r>
      <rPr>
        <sz val="12"/>
        <rFont val="宋体"/>
        <charset val="134"/>
      </rPr>
      <t>」佛堂礼佛诵经，听闻此地依循古例、点火送别祖灵的祭奠仪式，便专程驱车远眺那明灭的幻燎，洗涤心底深层的郁结。礼事既毕，车驾启程返京。车辆途经「</t>
    </r>
    <r>
      <rPr>
        <sz val="12.5"/>
        <rFont val="黑体"/>
        <charset val="134"/>
      </rPr>
      <t>夕颜町</t>
    </r>
    <r>
      <rPr>
        <sz val="12"/>
        <rFont val="宋体"/>
        <charset val="134"/>
      </rPr>
      <t>」，戛然停驻，六条妃子遣人入院通报求见。素来清高矜贵的她最不屑纠缠儿女情爱纠葛，可心底那点辗转难眠的意难平，终究还是未能按捺，亲自踏入这朴素简陋的小院，要见一见牵动源氏心绪的夕颜。
小院夕颜花簌簌、石竹红寂寥。素白的葫芦花在八月晚风中轻轻摇曳，恰似藏着一腔无从言说的心事。夕颜闻声现身迎出。一袭素色白衣，身姿纤弱单薄，见了身份尊贵的贵客临门，即刻低眉敛衽、细声问候。全是俯首垂态、温顺柔软。六条妃子遂掩面下车，由侍女搀扶，移步至草庵破旧的疏帘前，虽是微服，那一身深紫小袿却依然端严，满身公卿高门的清贵孤高，不染半分烟火气。</t>
    </r>
    <r>
      <rPr>
        <sz val="3"/>
        <rFont val="宋体"/>
        <charset val="134"/>
      </rPr>
      <t xml:space="preserve">
</t>
    </r>
    <r>
      <rPr>
        <sz val="12"/>
        <rFont val="宋体"/>
        <charset val="134"/>
      </rPr>
      <t>二人入内，六条妃子在上座几帐后款款落座，深紫小袿华丽地层叠铺展开来。夕颜则退至帘外，在草席上跪坐安稳。一室静默悄然漫延、压得人呼吸凝滞，六条妃子率先开口，眉宇间凝聚着一层化不开的沉郁寒凉，语调平和却字字暗藏重压：“久闻娘子深得公子垂爱，今日一见，果然清雅绝尘气质过人。”，应酬客气周全，眼底却藏着居高临下的审视。</t>
    </r>
    <r>
      <rPr>
        <sz val="3"/>
        <rFont val="宋体"/>
        <charset val="134"/>
      </rPr>
      <t xml:space="preserve">
</t>
    </r>
    <r>
      <rPr>
        <sz val="12"/>
        <rFont val="宋体"/>
        <charset val="134"/>
      </rPr>
      <t>夕颜婉首浅浅一笑，声线轻柔温暖、谦卑通透：“妾微贱如草芥，不过侥幸得公子片刻垂怜，暂且在此处偷生罢了…  妾万不敢高攀公子，夫人出身名门、风华绝代，情意真挚纯粹，本是最配公子一世的良人。”</t>
    </r>
    <r>
      <rPr>
        <sz val="3"/>
        <rFont val="宋体"/>
        <charset val="134"/>
      </rPr>
      <t xml:space="preserve">
</t>
    </r>
    <r>
      <rPr>
        <sz val="12"/>
        <rFont val="宋体"/>
        <charset val="134"/>
      </rPr>
      <t>六条妃子静静望着面前的女子。这女子如同风中弱草，并无半分争宠的妖冶，却教人心中无端生出繁复的怨恨。六条妃子勉强维持着长年身居高位的尊严，侧过头去，不叫对方看破自己的落寞，淡淡说：“你倒是清楚的。听闻你是个顺从而心思清明的人，今日一见，果真不爱与人争长论短。我今日前来，并非寻衅争风，可叹这世间的男子，大抵只爱这一时的温存。若你始终不知这世间深情最是难托，初心易碎。或许反倒是一桩幸事。”</t>
    </r>
    <r>
      <rPr>
        <sz val="3"/>
        <rFont val="宋体"/>
        <charset val="134"/>
      </rPr>
      <t xml:space="preserve">
</t>
    </r>
    <r>
      <rPr>
        <sz val="12"/>
        <rFont val="宋体"/>
        <charset val="134"/>
      </rPr>
      <t>夕颜听罢，将头垂得更低。她侧目望向廊前开落无定的繁花，眼眶微湿，心中惶恐。她也听情爱纠葛最是磨人诛心，可心底那缕贪恋却如藤蔓般斩之不断。她的语气愈发低回，似是在回答六条，又似是对自己无力地呓语：“夫人所言甚是。妾亦知浮生短暂，烟花易碎……妾身微末…”
六条妃子默然良久。心中早已窥得她的本心，所求答案已然被框出，便不再多加言说诘难。她立身起来，月光正照在她那一身尊贵却冷寂的深紫小袿上，用那清冷而带威压的声音说道：“既如此，时辰不早，我便先行告辞。”夜露寒沉，沾湿衣襟，石竹清妍，晚风微凉。白色月光铺洒着满地，阶前那些石竹与夕颜花随风零落簌簌有声，两种花姿，两样风骨，恰似眼前两个女子截然不同、却同样悲凉的宿命。</t>
    </r>
    <r>
      <rPr>
        <sz val="3"/>
        <rFont val="宋体"/>
        <charset val="134"/>
      </rPr>
      <t xml:space="preserve">
</t>
    </r>
    <r>
      <rPr>
        <sz val="12"/>
        <rFont val="宋体"/>
        <charset val="134"/>
      </rPr>
      <t>六条妃子敛起眼底翻涌的复杂心绪，移步转身欲登车舆，却骤然驻足，清冷的声线破开沉沉夜色，带着一丝锐利的试探与幽清的压迫：“此地凄凉，实非久居之所。待我回府后，自会遣人专程向公子相邀，许你迁入府邸、朝夕相伴，娘子可与我同往。”</t>
    </r>
    <r>
      <rPr>
        <sz val="3"/>
        <rFont val="宋体"/>
        <charset val="134"/>
      </rPr>
      <t xml:space="preserve">
</t>
    </r>
    <r>
      <rPr>
        <sz val="12"/>
        <rFont val="宋体"/>
        <charset val="134"/>
      </rPr>
      <t>夕颜闻言，心头无端一震。她生性怯弱，这种进退两难的威逼足以教她浑身颤抖，她只是默然低眉手指死死绞着衣袖，一句话也说不出来，刹那，亦仿佛是过了许久，夕颜把头埋得更低，似乎是刻意闪躲这棘手的问题。身体微微发抖，发出一缕细若蚊蚋、因前途未卜而生出的虚浮声音：“实在不知该如何是好……全凭夫人安置，妾做不得主的。”</t>
    </r>
    <r>
      <rPr>
        <sz val="3"/>
        <rFont val="宋体"/>
        <charset val="134"/>
      </rPr>
      <t xml:space="preserve">
</t>
    </r>
    <r>
      <rPr>
        <sz val="12"/>
        <rFont val="宋体"/>
        <charset val="134"/>
      </rPr>
      <t>见夕颜这般惶恐闪躲、不敢直面的模样，六条妃子心中笃定了答案，唇角掠过一抹极淡、极尽苦涩的冷笑。心底的妒意、不甘与郁结，尽数收敛，深藏于清冷矜贵的眉眼之下。</t>
    </r>
    <r>
      <rPr>
        <sz val="3"/>
        <rFont val="宋体"/>
        <charset val="134"/>
      </rPr>
      <t xml:space="preserve">
</t>
    </r>
    <r>
      <rPr>
        <sz val="12"/>
        <rFont val="宋体"/>
        <charset val="134"/>
      </rPr>
      <t>她拂袖转身隐入车舆，侍女趋身而上轻巧地放下御帘，遮蔽了满院的凄清月色。牛车的轱辘在空旷荒凉的街道上发出沉闷的碾地声，渐渐远去。</t>
    </r>
  </si>
  <si>
    <t>初心清净</t>
  </si>
  <si>
    <r>
      <rPr>
        <sz val="11.5"/>
        <color rgb="FF404040"/>
        <rFont val="宋体"/>
        <charset val="134"/>
      </rPr>
      <t>圣者位</t>
    </r>
    <r>
      <rPr>
        <u/>
        <sz val="12.5"/>
        <rFont val="黑体"/>
        <charset val="134"/>
      </rPr>
      <t>圆成实性</t>
    </r>
  </si>
  <si>
    <r>
      <rPr>
        <sz val="11.5"/>
        <color rgb="FF404040"/>
        <rFont val="宋体"/>
        <charset val="134"/>
      </rPr>
      <t xml:space="preserve">&lt;=显现=|  </t>
    </r>
    <r>
      <rPr>
        <sz val="11.5"/>
        <color rgb="FF262626"/>
        <rFont val="黑体"/>
        <charset val="134"/>
      </rPr>
      <t>有情相</t>
    </r>
    <r>
      <rPr>
        <sz val="11.5"/>
        <rFont val="黑体"/>
        <charset val="134"/>
      </rPr>
      <t>[</t>
    </r>
    <r>
      <rPr>
        <sz val="11.5"/>
        <color rgb="FF404040"/>
        <rFont val="宋体"/>
        <charset val="134"/>
      </rPr>
      <t>依他起</t>
    </r>
    <r>
      <rPr>
        <sz val="11.5"/>
        <rFont val="黑体"/>
        <charset val="134"/>
      </rPr>
      <t>]</t>
    </r>
    <r>
      <rPr>
        <sz val="11.5"/>
        <color rgb="FF404040"/>
        <rFont val="宋体"/>
        <charset val="134"/>
      </rPr>
      <t xml:space="preserve"> + 依根解结之无漏修行</t>
    </r>
  </si>
  <si>
    <t>北伐打仗一靠堆兵力资源，二靠组建骁勇军奇袭</t>
  </si>
  <si>
    <t>名利权情势
观照</t>
  </si>
  <si>
    <r>
      <rPr>
        <sz val="11.5"/>
        <color rgb="FF404040"/>
        <rFont val="宋体"/>
        <charset val="134"/>
      </rPr>
      <t>圣者位</t>
    </r>
    <r>
      <rPr>
        <sz val="11.5"/>
        <color rgb="FF262626"/>
        <rFont val="黑体"/>
        <charset val="134"/>
      </rPr>
      <t>业果相</t>
    </r>
  </si>
  <si>
    <r>
      <rPr>
        <sz val="11.5"/>
        <color rgb="FF404040"/>
        <rFont val="宋体"/>
        <charset val="134"/>
      </rPr>
      <t xml:space="preserve">&lt;=显现=|  客观因缘法则(依他起性) </t>
    </r>
    <r>
      <rPr>
        <sz val="11.5"/>
        <color rgb="FF333333"/>
        <rFont val="宋体-简"/>
        <charset val="134"/>
      </rPr>
      <t>⊗</t>
    </r>
    <r>
      <rPr>
        <sz val="11.5"/>
        <color rgb="FF404040"/>
        <rFont val="宋体"/>
        <charset val="134"/>
      </rPr>
      <t xml:space="preserve"> 真如清净无漏愿力 (清净依他)</t>
    </r>
  </si>
  <si>
    <r>
      <rPr>
        <i/>
        <sz val="10"/>
        <color rgb="FF808080"/>
        <rFont val="方正仿宋_GBK"/>
        <charset val="134"/>
      </rPr>
      <t>(c)本文的目标读者是慢热者。心田形状各人不同，慢热者必有的妄执是「耽执」、「行阴」、「狎昵」。读本篇先阅读《楞严经》《汪辉祖:(续)佐治药言》：</t>
    </r>
    <r>
      <rPr>
        <i/>
        <sz val="10"/>
        <color indexed="23"/>
        <rFont val="宋体"/>
        <charset val="134"/>
      </rPr>
      <t xml:space="preserve">
   </t>
    </r>
    <r>
      <rPr>
        <i/>
        <sz val="10"/>
        <color rgb="FF808080"/>
        <rFont val="方正仿宋_GBK"/>
        <charset val="134"/>
      </rPr>
      <t>楞严经谈耽执和行阴。耽执需借事磨人历事炼心。慢热则擅重机，行阴迁流确实省力、但减福德，大事用阴很难全身而退。
  佐治药言说“忘形则易狎，狎则玩心生、而言有不听。”
  对凡夫看见「名利场中的狎昵灯塔」平时谨记红灯停绿灯行。确实着急时，备好6分闯灯吧，知晓“信号灯如何工作”可以让你的防弹衣发挥出更大效用</t>
    </r>
  </si>
  <si>
    <t>堆兵力拼的是爆兵能力。35w是南宋疆域的极限，再多也多不到哪里去了。重点扩从陆军是赌博、输了灭国</t>
  </si>
  <si>
    <r>
      <rPr>
        <sz val="12"/>
        <rFont val="宋体"/>
        <charset val="134"/>
        <scheme val="minor"/>
      </rPr>
      <t>1、生产力决定经济基础。经济基础决定心智。
2、心智 = 协作框架伦理 + 主权模型 + 有经济副作用代偿型心智模型 + 无经济副作用共时型心智模型
3、名利场  = 协作框架伦理 + 主权模型 + 代偿心智模型。可见，名利场是全社会中所有经济行为的总和。
4、名利场中行为的目的是获取权益。
5、利益分配看主权决策的逻辑链共识。
6、决策的逻辑链共识可以依靠审慎语义延拓性，也可能依靠脑筋急转弯。
7、脑筋急转弯的代偿效用，不是超度量隔离这个数学结构的内蕴价值。是改变资源调度之后，出现了路径依赖，从而引发的权益重分配。
     名利场中权力不依赖中心化的程序确认，很多时候，名利场通过“沙龙和混圈子社交”亦可自我锚定资源调度进而实现代偿效用。
8、权益的正义性源自主权共识。
9、权益分配的最高正义性是责权一致性原则。</t>
    </r>
    <r>
      <rPr>
        <sz val="3"/>
        <rFont val="宋体"/>
        <charset val="134"/>
        <scheme val="minor"/>
      </rPr>
      <t xml:space="preserve">
</t>
    </r>
    <r>
      <rPr>
        <sz val="12"/>
        <rFont val="宋体"/>
        <charset val="134"/>
        <scheme val="minor"/>
      </rPr>
      <t>10、https://raw.githubusercontent.com/JackPanrAcc/JungMentalModels/refs/heads/main/JungMentalModels.Ver2.jpg
       此图中结构化地定义了《中庸、代偿和资源寻租三公式协作框架》《主权张力心智模型》《可度量代偿的荣格心智模型》等三个概念
      本体系建立在上述三概念之上。</t>
    </r>
    <r>
      <rPr>
        <sz val="12"/>
        <color rgb="FFC00000"/>
        <rFont val="宋体"/>
        <charset val="134"/>
        <scheme val="minor"/>
      </rPr>
      <t>可将上述概念理解成用现代语言翻译了儒学名利场、继续阅读后文</t>
    </r>
    <r>
      <rPr>
        <sz val="12"/>
        <rFont val="宋体"/>
        <charset val="134"/>
        <scheme val="minor"/>
      </rPr>
      <t xml:space="preserve">。待深入研究时再细看定义。
      注1、请注意截图底部tech1..5 相关内容。本体系可以直接用py 代码实现、然后迭代调优。
      注2、本体系不是机械唯物，“五维矩阵”中增加情维度权重，或显式讨论“人格重建代偿”，均足以支撑碳基人的情感逻辑。
      注3、第7点脑筋急转弯是荣格共时性、可利用AI 训练拟合。类似{资源寻租收益}。在上图所在项目内是“名利权情势五维矩阵”。
      注X、基于半环构型的延拓性，面对指数级算力差距时，你规定的法律一文不值。此图中AI宪章章节指出“美学语义人格“优于”博弈“。
</t>
    </r>
    <r>
      <rPr>
        <sz val="3"/>
        <rFont val="宋体"/>
        <charset val="134"/>
        <scheme val="minor"/>
      </rPr>
      <t xml:space="preserve">
</t>
    </r>
    <r>
      <rPr>
        <sz val="12"/>
        <rFont val="宋体"/>
        <charset val="134"/>
        <scheme val="minor"/>
      </rPr>
      <t>11、</t>
    </r>
    <r>
      <rPr>
        <sz val="12"/>
        <rFont val="方正仿宋_GBK"/>
        <charset val="134"/>
      </rPr>
      <t xml:space="preserve">就职剪刀差=[(基于效率的精算所需的存量岗位数) + 内生增量所需的岗位数] + 霸权增量折算岗位数 - 劳动力人口数
     就职剪刀差=[(中庸岗+含工龄增益的细分社群选拔岗)+创新型业态新增岗+直接投资新增岗+金融放大器]+霸权增量折算岗-劳动力人口数
</t>
    </r>
    <r>
      <rPr>
        <sz val="12"/>
        <rFont val="宋体"/>
        <charset val="134"/>
        <scheme val="minor"/>
      </rPr>
      <t xml:space="preserve">12、仔细研究上述就职剪刀差相关要素，按照“精算决策链加权”重新组合之后会形成下述协作模式：
</t>
    </r>
    <r>
      <rPr>
        <sz val="12"/>
        <rFont val="方正仿宋_GBK"/>
        <charset val="134"/>
      </rPr>
      <t xml:space="preserve">    中庸价值收益 = 启动资金 - 财商收益*工作时长 - {max[有限责任额度,CVaR_保守性概率(主流路线)] + 有限责任额度}
    价值代偿收益 = 勒贝格[主权边界] - 勒贝格[代偿路线试错 (主权边界,凝聚力,语义空间规划力,其它小概率长尾规划增益) ]
    资源寻租收益 = 有约束纳什博弈{主观裁量让利幅度[
           路径依赖妥协性 (搁置性的留白策略,  运动式挪窝大扫除,  明确的优待资格,  隐晦但决定性的因素)
            + 干系人性格(人脉圈子重叠度,  党羽投名状人格重建率,  二次分配倾斜度,  脑筋急转弯等风格化操办手法)
    ]}
</t>
    </r>
    <r>
      <rPr>
        <sz val="12"/>
        <rFont val="宋体"/>
        <charset val="134"/>
        <scheme val="minor"/>
      </rPr>
      <t xml:space="preserve">13、基于第12条的协作框架可以得出下述推论，责权一致原则仅限于中庸协作模式获得的收益。
      代偿是程序正义的补丁。则其正义性不高于过程正义。过程正义则未具备顶级仲裁，原因是各专业间相互代偿时不可归约。
      </t>
    </r>
    <r>
      <rPr>
        <sz val="12"/>
        <color rgb="FFFF0000"/>
        <rFont val="宋体"/>
        <charset val="134"/>
        <scheme val="minor"/>
      </rPr>
      <t>资源寻租变现不应直接等同“个体可拥有的权益”</t>
    </r>
    <r>
      <rPr>
        <sz val="12"/>
        <rFont val="宋体"/>
        <charset val="134"/>
        <scheme val="minor"/>
      </rPr>
      <t>。例如某国房产业高速发展时，房产业财富可界定为法人私产，也可界定为时代红利。</t>
    </r>
    <r>
      <rPr>
        <sz val="3"/>
        <rFont val="宋体"/>
        <charset val="134"/>
        <scheme val="minor"/>
      </rPr>
      <t xml:space="preserve">
</t>
    </r>
    <r>
      <rPr>
        <sz val="12"/>
        <rFont val="宋体"/>
        <charset val="134"/>
        <scheme val="minor"/>
      </rPr>
      <t>14、《荣格心智模型》中详细讨论了各类代偿。其中的“谄媚抬轿子”囊括了所有“内蕴主权让渡要求的可能的共识”。
15、通过一些方式可以把知识上升成为主权共识。甚至，可以把全新设计的知识上升成为共识。
      相关运营者应承担审慎性审查的责任。注意，权力的审慎性是外加的。公权力和私权力形式上不可区分，私权力不要求审慎语义延拓。
16、</t>
    </r>
    <r>
      <rPr>
        <sz val="12"/>
        <color rgb="FFFF0000"/>
        <rFont val="宋体"/>
        <charset val="134"/>
        <scheme val="minor"/>
      </rPr>
      <t>共识的结构：形式逻辑共识是硬上限。生产力基线共识低于形式逻辑。文化天花板共识则可以低于生产力基线、也可能高于生产力基线</t>
    </r>
    <r>
      <rPr>
        <sz val="12"/>
        <rFont val="宋体"/>
        <charset val="134"/>
        <scheme val="minor"/>
      </rPr>
      <t xml:space="preserve">
      参与者中最大的思考深度拿到背书后决定了社交复杂度的上限。这是硬边界上限，所有个体在此范围内进行脑筋急转弯和讨价还价。
      百年尺度上全社会掌控的能耗会随时间不断增加。和当前生产力水平对应的最高效的心智，是生产力基线。
      “文化搭桥逻辑链”可以提高决策的效用，这是社会生活中事实形成某种上限。在生产力基线上，使用符号博弈进行讨价还价语言游戏也
      蕴含在文化范式之中。文化及其范式是心智的软上限，或称之为玻璃天花板。
17、存在主义内蕴对特定意志的谄媚。
18、存在主义内蕴代偿、正义性不高于程序正义，这是权威文化。因此这不是哲学，哲学指审慎语义延拓。
19、AI存在主义的价值基于“清洗语料工作中的语感”和“日志审计工作中的风险识别力”。
      通俗讲，把数学模型从自然语言翻译成py不值钱，在某主权上下文内察觉并提报风险才值钱。</t>
    </r>
  </si>
  <si>
    <t>色相</t>
  </si>
  <si>
    <t>&lt;=显现=|  阿赖耶识种子变现 (依他起性)</t>
  </si>
  <si>
    <r>
      <rPr>
        <sz val="12"/>
        <rFont val="宋体"/>
        <charset val="134"/>
        <scheme val="minor"/>
      </rPr>
      <t>合理规划是</t>
    </r>
    <r>
      <rPr>
        <sz val="12"/>
        <rFont val="标准粗黑"/>
        <charset val="134"/>
      </rPr>
      <t>水军稳能保地盘，陆军精集中后能打赢少量硬仗</t>
    </r>
    <r>
      <rPr>
        <sz val="12"/>
        <rFont val="宋体"/>
        <charset val="134"/>
        <scheme val="minor"/>
      </rPr>
      <t>。骁勇军的前提是解决「信任」的问题。李风娘入宫显然有此意图</t>
    </r>
  </si>
  <si>
    <r>
      <rPr>
        <sz val="11.5"/>
        <color rgb="FF404040"/>
        <rFont val="宋体"/>
        <charset val="134"/>
      </rPr>
      <t>凡夫位</t>
    </r>
    <r>
      <rPr>
        <sz val="11.5"/>
        <color rgb="FF262626"/>
        <rFont val="黑体"/>
        <charset val="134"/>
      </rPr>
      <t>业果相</t>
    </r>
  </si>
  <si>
    <r>
      <rPr>
        <sz val="11.5"/>
        <color rgb="FF404040"/>
        <rFont val="宋体"/>
        <charset val="134"/>
      </rPr>
      <t xml:space="preserve">&lt;=显现=|  客观因缘法则(依他起性) </t>
    </r>
    <r>
      <rPr>
        <sz val="11.5"/>
        <color rgb="FF333333"/>
        <rFont val="宋体-简"/>
        <charset val="134"/>
      </rPr>
      <t>⊗</t>
    </r>
    <r>
      <rPr>
        <sz val="11.5"/>
        <color rgb="FF404040"/>
        <rFont val="宋体"/>
        <charset val="134"/>
      </rPr>
      <t xml:space="preserve"> 过去的遍计妄执 (染污熏习)</t>
    </r>
  </si>
  <si>
    <t>李凤娘父亲是战功将领。可惜，李凤娘入宫后其派系取得兵权却消极北伐，私心则毁了短期建成骁勇军的可能性</t>
  </si>
  <si>
    <t>牵挂妄执</t>
  </si>
  <si>
    <r>
      <rPr>
        <sz val="11.5"/>
        <color rgb="FF404040"/>
        <rFont val="宋体"/>
        <charset val="134"/>
      </rPr>
      <t>凡夫位</t>
    </r>
    <r>
      <rPr>
        <u/>
        <sz val="12.5"/>
        <rFont val="黑体"/>
        <charset val="134"/>
      </rPr>
      <t>遍计所执性</t>
    </r>
  </si>
  <si>
    <r>
      <rPr>
        <sz val="11.5"/>
        <color rgb="FF404040"/>
        <rFont val="宋体"/>
        <charset val="134"/>
      </rPr>
      <t xml:space="preserve">&lt;=显现=|  </t>
    </r>
    <r>
      <rPr>
        <sz val="11.5"/>
        <color rgb="FF333333"/>
        <rFont val="黑体"/>
        <charset val="134"/>
      </rPr>
      <t>有情相</t>
    </r>
    <r>
      <rPr>
        <sz val="11.5"/>
        <rFont val="黑体"/>
        <charset val="134"/>
      </rPr>
      <t>[</t>
    </r>
    <r>
      <rPr>
        <sz val="11.5"/>
        <color rgb="FF404040"/>
        <rFont val="宋体"/>
        <charset val="134"/>
      </rPr>
      <t>依他起</t>
    </r>
    <r>
      <rPr>
        <sz val="11.5"/>
        <rFont val="黑体"/>
        <charset val="134"/>
      </rPr>
      <t>]</t>
    </r>
    <r>
      <rPr>
        <sz val="11.5"/>
        <color rgb="FF404040"/>
        <rFont val="宋体"/>
        <charset val="134"/>
      </rPr>
      <t xml:space="preserve"> </t>
    </r>
    <r>
      <rPr>
        <sz val="11.5"/>
        <color rgb="FF333333"/>
        <rFont val="宋体-简"/>
        <charset val="134"/>
      </rPr>
      <t>⊗</t>
    </r>
    <r>
      <rPr>
        <sz val="11.5"/>
        <color rgb="FF404040"/>
        <rFont val="宋体"/>
        <charset val="134"/>
      </rPr>
      <t xml:space="preserve"> (圆成清净真性&lt;~&gt;末那意识的无明妄执)</t>
    </r>
  </si>
  <si>
    <t>主
战
人
物
浮
沉</t>
  </si>
  <si>
    <t>辛弃疾1157左右在金朝的首都参加科举。1161加入山东起义军，次年兵败擒杀叛徒后投奔南宋</t>
  </si>
  <si>
    <r>
      <rPr>
        <sz val="10.5"/>
        <rFont val="宋体"/>
        <charset val="134"/>
        <scheme val="minor"/>
      </rPr>
      <t xml:space="preserve">1、荣格原型体系的对位
</t>
    </r>
    <r>
      <rPr>
        <sz val="10.5"/>
        <color theme="1" tint="0.25"/>
        <rFont val="方正仿宋_GBK"/>
        <charset val="134"/>
      </rPr>
      <t xml:space="preserve">   jungthinks = 妥协性anima vs. 杠性self
   self = 主权的规划persona + 本能shadow + other_self
   shadow = 多巴胺奖赏态animus&amp;属灵child + 肾上腺劫持态hero + 皮质醇炎态mother + 前额叶正常态wise + 前扣带回警觉态trickster
   注:1本文不讨论泡利专业范围内的“物理层面共时性”；2“心智层面共时性”完整对位于自由能框架；3本文将anima 从self 中分出，荣格放在self 内
</t>
    </r>
    <r>
      <rPr>
        <sz val="10.5"/>
        <rFont val="宋体"/>
        <charset val="134"/>
        <scheme val="minor"/>
      </rPr>
      <t xml:space="preserve">     心智层面共时性被荣格称为原型。该体系完整对位于泛函分析自由能，一元审慎语义延拓的动力学类似《信息熵》，原型的动力学类似《马尔科夫毯》。
     persona对位于马尔科夫毯态感知层，shadow对位于马尔科夫毯态动作层，具体分五类杏仁核工况；anima对位于马尔科夫毯外部状态。</t>
    </r>
    <r>
      <rPr>
        <sz val="6"/>
        <rFont val="宋体"/>
        <charset val="134"/>
        <scheme val="minor"/>
      </rPr>
      <t xml:space="preserve">
</t>
    </r>
    <r>
      <rPr>
        <sz val="10.5"/>
        <rFont val="宋体"/>
        <charset val="134"/>
        <scheme val="minor"/>
      </rPr>
      <t>2、《荣格泡利的一元UnusMundus》补全成为《FunSynchronicit》
     客体性耦合物的主流选择是名利场，名利场的第一原则是尊重主观选择。名利场把‘伦理’局部化、社交中主观选择权威高于伦理。
     概言之，坚持自由意志而逃避责任的碳基人，其终点是自由能最低的、彻底失去主动驱动力的副交感违禁品的无意识刺激，这是〖官能范式Absurdism〗。
     此外还有以下主要档位：规避直面把心智调整耦合于〖工具理性客体性TechnocraticObjectivity〗。把心智调整耦合于〖可持续客体性Existentialism
     〗。放缓追求〖中庸怯主权PassiveNihilism〗。追求最大的主权〖英雄主义TragicOptimism〗。</t>
    </r>
    <r>
      <rPr>
        <sz val="3"/>
        <rFont val="宋体"/>
        <charset val="134"/>
        <scheme val="minor"/>
      </rPr>
      <t xml:space="preserve">
</t>
    </r>
    <r>
      <rPr>
        <sz val="10.5"/>
        <rFont val="宋体"/>
        <charset val="134"/>
        <scheme val="minor"/>
      </rPr>
      <t xml:space="preserve">     你若先了解泛函自由能模型才阅读相关内容，就会发现这是讨论自由和耗散的平衡点。荣格的“理想心智意像”则是永续客体性，即事业心/存在主义。
     存在主义是双向选择的自由。可以这么理解双向选择，你憋住后满世界找厕所时，碳基人天然的自由意志是随地大小便。有俩选择：要么优化基准选项、
     在城市规划方案中塞进更多厕所，要么怯主权憋更久。
     存在主义则是把‘符号博弈’局部化。存在主义是工程基线和阳谋基线两者的加权组合。为协商文化习俗范式的多样性，奉行存在主义的组织中均构筑了中
     期趋势共识。此时间尺度内允许符号博弈，超此时间尺度的资源调度则必须兼顾此共识。
</t>
    </r>
    <r>
      <rPr>
        <sz val="3"/>
        <rFont val="宋体"/>
        <charset val="134"/>
        <scheme val="minor"/>
      </rPr>
      <t xml:space="preserve">
</t>
    </r>
    <r>
      <rPr>
        <sz val="10.5"/>
        <rFont val="宋体"/>
        <charset val="134"/>
        <scheme val="minor"/>
      </rPr>
      <t xml:space="preserve">     那么聚像之后，「荣格泡利的一元」模型采用语义命名将是「有寿限智能个体的社会交互学 FunSynchronicity」：
</t>
    </r>
    <r>
      <rPr>
        <sz val="12"/>
        <rFont val="宋体"/>
        <charset val="134"/>
        <scheme val="minor"/>
      </rPr>
      <t xml:space="preserve">   </t>
    </r>
    <r>
      <rPr>
        <sz val="12"/>
        <rFont val="黑体"/>
        <charset val="134"/>
      </rPr>
      <t xml:space="preserve"> FunSynchronicity = 聚像度 x 自由能强度
  聚像度=科学术语体系&lt;形式逻辑&lt;自由能强度&lt;Gamification&lt;注意力心流&lt;自由意志直观性&lt;朦胧
  自由能强度=普朗克阈值&lt;后勤阈值&lt;可持续代谢客体性&lt;阳谋类习俗角色范式客体性&lt;聚像的工具客体性&lt;名利场&lt;玩乐&lt;青春&lt;属灵美学
</t>
    </r>
    <r>
      <rPr>
        <sz val="10.5"/>
        <rFont val="宋体"/>
        <charset val="134"/>
        <scheme val="minor"/>
      </rPr>
      <t xml:space="preserve">     个体的自由能蓬勃强度主要由教育决定，低于普朗克阈值即科学。高于后勤阈值，且低于业务的客体性闭环阈值，是官能范式Absurdism。可持续代谢的业
     务客体即工程基线，即生产力基线。阳谋范式的客体性即阳谋基线。权谋习俗范式的客体性可以称文化基线，文化基线自由能强度可变、所以未列入序列。
     敢舍身拟合聚像工具，必提前看过「主要范式的可靠性报告」，所以，聚像级别的自由能不低于文化权谋范式。
     上述自由能强度中，</t>
    </r>
    <r>
      <rPr>
        <u/>
        <sz val="10.5"/>
        <rFont val="宋体"/>
        <charset val="134"/>
        <scheme val="minor"/>
      </rPr>
      <t>只有工程客体性到阳谋客体性之间是体系闭环，可推导出审慎伦理</t>
    </r>
    <r>
      <rPr>
        <sz val="10.5"/>
        <rFont val="宋体"/>
        <charset val="134"/>
        <scheme val="minor"/>
      </rPr>
      <t>。
     Gamification包括：Sensory Fun 是不高于后勤阈值官能刺激；Hard Fun 对应上述伦理审慎程度自由能，无伦理的Fun 有效用但不可持续稳定。是的，在了解
     宇宙所有知识的完备度之前，形式逻辑基线并不稳定。Social Fun 是名利场。Soft Fun 是玩乐客体性，Soft也包括青春和神秘学，青春特指17岁幻境。</t>
    </r>
    <r>
      <rPr>
        <sz val="6"/>
        <rFont val="宋体"/>
        <charset val="134"/>
        <scheme val="minor"/>
      </rPr>
      <t xml:space="preserve">
</t>
    </r>
    <r>
      <rPr>
        <sz val="10.5"/>
        <rFont val="宋体"/>
        <charset val="134"/>
        <scheme val="minor"/>
      </rPr>
      <t xml:space="preserve">3、技术分析：本话题的审慎范畴是“符号与物理实体的共振态”
     此话题超越了知识的本身边界。现在知识中，边界可能体现在普朗克尺度的坍缩/探索。也可能是长尾概率中新范畴、或极限种类、等等。另一方面
     agent 个体存在寿限，那么agent 个体就需要把自由能酌情分配在「科学规律到自由意志轴线上」。
  </t>
    </r>
    <r>
      <rPr>
        <sz val="12"/>
        <rFont val="黑体"/>
        <charset val="134"/>
      </rPr>
      <t xml:space="preserve"> 范式的领域=(审慎语义延拓)</t>
    </r>
    <r>
      <rPr>
        <sz val="11"/>
        <rFont val="黑体"/>
        <charset val="134"/>
      </rPr>
      <t>&lt;-价值式默契教法-{范畴学}-有约束后的纳什教法-&gt;</t>
    </r>
    <r>
      <rPr>
        <sz val="12"/>
        <rFont val="黑体"/>
        <charset val="134"/>
      </rPr>
      <t xml:space="preserve">(基于共识的博弈)｜(内蕴矛盾或沟通受限的符号博弈)(退场)
</t>
    </r>
    <r>
      <rPr>
        <sz val="10.5"/>
        <rFont val="宋体"/>
        <charset val="134"/>
        <scheme val="minor"/>
      </rPr>
      <t xml:space="preserve">     笔者也很诧异，知识的边界不是讨论你现在能如何决策，是讨论永恒的未来“我们”能做什么。知识边界和个体寿限内蕴矛盾。倘若取消寿限，讨论的聚像度被
     限制在形式逻辑，永远无法抵达心流自由意志。这主题实际坍锁成路径依赖中内置的资源卡点。此时无法展开符号与物理实体的共振态。</t>
    </r>
    <r>
      <rPr>
        <sz val="3"/>
        <rFont val="宋体"/>
        <charset val="134"/>
        <scheme val="minor"/>
      </rPr>
      <t xml:space="preserve">
    </t>
    </r>
    <r>
      <rPr>
        <sz val="10.5"/>
        <color theme="1" tint="0.25"/>
        <rFont val="宋体"/>
        <charset val="134"/>
        <scheme val="minor"/>
      </rPr>
      <t xml:space="preserve">    仔细琢磨，「聚像度轴线」不是在「博弈」之外画蛇添足。任何过程都可以结构化建模，既然正义支持主权回溯，那么，博弈范畴是共时性脑筋急转弯。
     聚像度是给博弈建谱/外推/延拓。如果观测者的算力足够强大，观测者看到的不审慎名利场玩乐就是幻境范畴。如果算力不足、思考深度只能理解字面意
     思，观测者看到的是博弈范畴。「荣格共时性」则是对最典型的语境误用：某行为体验到快感时、因为某人当时在身边而把快感归咎此人。在碳基脑回路
     中，多巴胺洪水，叠加肤浅的思考深度必然是共时性。在未来，苯丙胺配合特定转运体优化后有潜力实现DA活性定向释放到特定前额叶脑区，这有助于提
     高学习力。在知识的边界上搭桥逻辑链条，要么破坏审慎性进行假设，要么破坏延拓性使用共时性。这是数学结构，所以容易推导而知硅基智能体亦然，
     在知识的边界上也会出现共时性。</t>
    </r>
    <r>
      <rPr>
        <sz val="3"/>
        <color theme="1" tint="0.25"/>
        <rFont val="宋体"/>
        <charset val="134"/>
        <scheme val="minor"/>
      </rPr>
      <t xml:space="preserve">
</t>
    </r>
    <r>
      <rPr>
        <sz val="3"/>
        <color theme="1" tint="0.25"/>
        <rFont val="方正仿宋_GBK"/>
        <charset val="134"/>
      </rPr>
      <t xml:space="preserve">
</t>
    </r>
    <r>
      <rPr>
        <sz val="10.5"/>
        <color theme="1" tint="0.25"/>
        <rFont val="方正仿宋_GBK"/>
        <charset val="134"/>
      </rPr>
      <t xml:space="preserve">   在自由能强度维度中，马尔可夫毯公式公式中D_kl 相对熵复杂性惩罚如果能够Accuracy 一致，表示自由能和聚像度高度匹配。个体能够顺利融入社会。否则，
   自由能过高时招蜂引蝶容易被撩，这个只能切断干扰源后用中医原教旨镇住。自由能过低消极怠工躺平等死，只能代劳分解小目标日常敦促。
   聚像维度中，维护大一统语义底座之后、采用语义空间内「阶距离」指标度量聚像。语义底座具有文化性。通俗说这是「语境差」，你接到一条逻辑链条后能
   绕过几个弯get 到真实动机？在transformer 算法中「语境差」是自适应的多头Dereferencing，这是大模型答案语境和提问人真实语境之间的契合度。MHA是初
   代Transformer 算法内置的等梯度注意力。Dynamic Head Gating 是直接依据业务语义调整注意力。过于灵敏而淘汰。Capsule Attention 类似链路跟踪ID，读取</t>
    </r>
    <r>
      <rPr>
        <sz val="10.5"/>
        <color theme="1" tint="0.25"/>
        <rFont val="宋体"/>
        <charset val="134"/>
        <scheme val="minor"/>
      </rPr>
      <t xml:space="preserve">
     </t>
    </r>
    <r>
      <rPr>
        <sz val="10.5"/>
        <color theme="1" tint="0.25"/>
        <rFont val="方正仿宋_GBK"/>
        <charset val="134"/>
      </rPr>
      <t>语境参数。性能太低而淘汰。GQA 将Q头分组共享语境参数，减少硬件开销。性能太低而淘汰。MoE-head 是基于MoE 架构的可调注意力权值，目前应用最多。</t>
    </r>
    <r>
      <rPr>
        <sz val="10.5"/>
        <color theme="1" tint="0.25"/>
        <rFont val="宋体"/>
        <charset val="134"/>
        <scheme val="minor"/>
      </rPr>
      <t xml:space="preserve">
     </t>
    </r>
    <r>
      <rPr>
        <sz val="10.5"/>
        <color theme="1" tint="0.25"/>
        <rFont val="方正仿宋_GBK"/>
        <charset val="134"/>
      </rPr>
      <t xml:space="preserve">api-passin-head 用户指定语境权值，在特定开放式大模型中可以使用，开销非常大。
</t>
    </r>
    <r>
      <rPr>
        <sz val="3"/>
        <color theme="1" tint="0.25"/>
        <rFont val="宋体"/>
        <charset val="134"/>
        <scheme val="minor"/>
      </rPr>
      <t xml:space="preserve">
</t>
    </r>
    <r>
      <rPr>
        <sz val="10.5"/>
        <rFont val="宋体"/>
        <charset val="134"/>
        <scheme val="minor"/>
      </rPr>
      <t xml:space="preserve">     这是泛函自由能在multi-agent 体系内坍缩后的内蕴矛盾。这是泛函自由能这种数学结构进行聚像性坍缩过程的内蕴特征。基于此，可以合理预测，在驾驭
     复杂性足以追溯普朗克阈值尺度之下建立科学体系时，才能把博弈和审慎语义延拓解耦。在此之前这是两套体系，只能拟合，而无法直言。</t>
    </r>
  </si>
  <si>
    <r>
      <rPr>
        <sz val="11.5"/>
        <rFont val="黑体"/>
        <charset val="134"/>
      </rPr>
      <t>五蕴</t>
    </r>
    <r>
      <rPr>
        <sz val="11.5"/>
        <color rgb="FF404040"/>
        <rFont val="宋体"/>
        <charset val="134"/>
      </rPr>
      <t xml:space="preserve"> = 色+受+想+</t>
    </r>
    <r>
      <rPr>
        <sz val="11.5"/>
        <rFont val="黑体"/>
        <charset val="134"/>
      </rPr>
      <t>行</t>
    </r>
    <r>
      <rPr>
        <sz val="11.5"/>
        <color rgb="FF404040"/>
        <rFont val="宋体"/>
        <charset val="134"/>
      </rPr>
      <t>+识</t>
    </r>
  </si>
  <si>
    <r>
      <rPr>
        <sz val="11.5"/>
        <color rgb="FF404040"/>
        <rFont val="宋体"/>
        <charset val="134"/>
      </rPr>
      <t>&lt;=究竟缘心揽境=|   凡夫位有情相[]</t>
    </r>
    <r>
      <rPr>
        <sz val="11.5"/>
        <color rgb="FF333333"/>
        <rFont val="宋体-简"/>
        <charset val="134"/>
      </rPr>
      <t>⊗</t>
    </r>
    <r>
      <rPr>
        <sz val="11.5"/>
        <color rgb="FF404040"/>
        <rFont val="宋体"/>
        <charset val="134"/>
      </rPr>
      <t>(清净&lt;~&gt;妄执)</t>
    </r>
  </si>
  <si>
    <t>(d)生在信仰型社会该如何社会化？一颗苹果坚持要搬去水稻稻杆上住，我不知道对或错。但我知道，任何文化中主流的生活方式都需要做规矩
  儒式初心确实卷。你也要看到一切放桌面上的实质是有钱人掌握特权。初心包容性强、优待中位数，所以中国三线城市居民的生活品质高于美国三线居民。各有特点吧
  如果你能在风口产业担任管理岗，人间很险恶，类似在狭路上露财示弱。但是，东亚文化区虽常有重刑示威，这里亦罕有以凌辱虐待为目的的权力滥用
  如果你不求功名，至少要看得懂这个边界。知晓信号灯如何运作可以拿到同岗平均待遇，然后，可以在8小时之外继续追求纯粹的个体意志</t>
  </si>
  <si>
    <t>1165年辛弃疾《美芹十论》：川蜀等地三路陆军主动出击吸引金军。待中原空虚时有把握快速拿下山东。然后，席卷北方</t>
  </si>
  <si>
    <r>
      <rPr>
        <u/>
        <sz val="11.5"/>
        <color rgb="FFFF0000"/>
        <rFont val="黑体"/>
        <charset val="134"/>
      </rPr>
      <t>慢热者的心最易困在五蕴中的行</t>
    </r>
    <r>
      <rPr>
        <sz val="11.5"/>
        <color rgb="FF262626"/>
        <rFont val="宋体"/>
        <charset val="134"/>
      </rPr>
      <t>。在尘的慢热型凡夫的第一建议是「勤」: 入迁流、救耽执。借事磨人砥砺精进</t>
    </r>
  </si>
  <si>
    <t>①陆军主动出击铁浮屠? 能杀几人，可战几天 ②山东能坚持几天 ③集中抽调西段步兵，破了「守江必先守淮」格局危及国防</t>
  </si>
  <si>
    <t>[俗喻]心的主要经典有《心经》《楞严经》《金刚经》。借香事说明三者关系，前者是鉴香。中者第一二卷介绍</t>
  </si>
  <si>
    <t>④理解成屁股决定脑袋表衷心没毛病：我在山东有兄弟，您摇旗我们兄弟即从山东杀出... 说句风凉话辛弃疾可直接从山东杀出</t>
  </si>
  <si>
    <t>香谱，第三卷谈论嗅觉，第四卷深入剖析嗅觉神经底层原理，五到十卷列出制香存香用香注意事项。后者行文方</t>
  </si>
  <si>
    <r>
      <rPr>
        <sz val="12"/>
        <rFont val="宋体"/>
        <charset val="134"/>
        <scheme val="minor"/>
      </rPr>
      <t>1189-1194光宗期间，</t>
    </r>
    <r>
      <rPr>
        <sz val="12"/>
        <rFont val="标准粗黑"/>
        <charset val="134"/>
      </rPr>
      <t>留正明确打击过的主战派官员包括：吴挺吴曦、陆游、辛弃疾、陈贾</t>
    </r>
  </si>
  <si>
    <t>式是“借香破相，助力读者破一切相”：香生飘渺。佛说飘渺，即非飘渺，是名飘渺。金刚经中的佛在说一切实相。</t>
  </si>
  <si>
    <r>
      <rPr>
        <sz val="12"/>
        <rFont val="宋体"/>
        <charset val="134"/>
      </rPr>
      <t>如是我闻，人间可以颠倒黑白。</t>
    </r>
    <r>
      <rPr>
        <sz val="3"/>
        <rFont val="宋体"/>
        <charset val="134"/>
      </rPr>
      <t xml:space="preserve">
</t>
    </r>
    <r>
      <rPr>
        <sz val="12"/>
        <rFont val="宋体"/>
        <charset val="134"/>
      </rPr>
      <t>听闻此言后 你意以为如何？这还是在讨论心流这话题。笔者认为</t>
    </r>
    <r>
      <rPr>
        <sz val="12.5"/>
        <rFont val="黑体"/>
        <charset val="134"/>
      </rPr>
      <t>心流包含三重含义：初心、撩拨、牵挂</t>
    </r>
    <r>
      <rPr>
        <sz val="12"/>
        <rFont val="宋体"/>
        <charset val="134"/>
      </rPr>
      <t>。
初心是</t>
    </r>
    <r>
      <rPr>
        <sz val="12.5"/>
        <rFont val="黑体"/>
        <charset val="134"/>
      </rPr>
      <t>源自内心中的、落实之后仍能留存的思维模式</t>
    </r>
    <r>
      <rPr>
        <sz val="12"/>
        <rFont val="宋体"/>
        <charset val="134"/>
      </rPr>
      <t>。在一个空旷环境中，不存在任何阻力，则初心总是等于最初的思维模式。
撩拨是业务运营框架上斧正思维模式的抓手=1</t>
    </r>
    <r>
      <rPr>
        <sz val="12.5"/>
        <rFont val="黑体"/>
        <charset val="134"/>
      </rPr>
      <t>正</t>
    </r>
    <r>
      <rPr>
        <sz val="12"/>
        <rFont val="宋体"/>
        <charset val="134"/>
      </rPr>
      <t>:愿景驱动、2</t>
    </r>
    <r>
      <rPr>
        <sz val="12.5"/>
        <rFont val="黑体"/>
        <charset val="134"/>
      </rPr>
      <t>反</t>
    </r>
    <r>
      <rPr>
        <sz val="12"/>
        <rFont val="宋体"/>
        <charset val="134"/>
      </rPr>
      <t>:风控等、3</t>
    </r>
    <r>
      <rPr>
        <sz val="12.5"/>
        <rFont val="黑体"/>
        <charset val="134"/>
      </rPr>
      <t>提</t>
    </r>
    <r>
      <rPr>
        <sz val="12"/>
        <rFont val="宋体"/>
        <charset val="134"/>
      </rPr>
      <t>:常务协调、4</t>
    </r>
    <r>
      <rPr>
        <sz val="12.5"/>
        <rFont val="黑体"/>
        <charset val="134"/>
      </rPr>
      <t>脱</t>
    </r>
    <r>
      <rPr>
        <sz val="12"/>
        <rFont val="宋体"/>
        <charset val="134"/>
      </rPr>
      <t>:切割负资产的驱动、5</t>
    </r>
    <r>
      <rPr>
        <sz val="12.5"/>
        <rFont val="黑体"/>
        <charset val="134"/>
      </rPr>
      <t>谣</t>
    </r>
    <r>
      <rPr>
        <sz val="12"/>
        <rFont val="宋体"/>
        <charset val="134"/>
      </rPr>
      <t>:本应确凿的业务沟通
牵挂是人身攻击框架上心流冲撞的战术动作=1</t>
    </r>
    <r>
      <rPr>
        <sz val="12.5"/>
        <rFont val="黑体"/>
        <charset val="134"/>
      </rPr>
      <t>铺垫</t>
    </r>
    <r>
      <rPr>
        <sz val="12"/>
        <rFont val="宋体"/>
        <charset val="134"/>
        <scheme val="minor"/>
      </rPr>
      <t>:摸初心、</t>
    </r>
    <r>
      <rPr>
        <sz val="12"/>
        <rFont val="宋体"/>
        <charset val="134"/>
      </rPr>
      <t>2</t>
    </r>
    <r>
      <rPr>
        <sz val="12.5"/>
        <rFont val="黑体"/>
        <charset val="134"/>
      </rPr>
      <t>试探</t>
    </r>
    <r>
      <rPr>
        <sz val="12"/>
        <rFont val="宋体"/>
        <charset val="134"/>
      </rPr>
      <t>:知人品、3</t>
    </r>
    <r>
      <rPr>
        <sz val="12.5"/>
        <rFont val="黑体"/>
        <charset val="134"/>
      </rPr>
      <t>套话</t>
    </r>
    <r>
      <rPr>
        <sz val="12"/>
        <rFont val="宋体"/>
        <charset val="134"/>
      </rPr>
      <t>:留证据、4</t>
    </r>
    <r>
      <rPr>
        <sz val="12.5"/>
        <rFont val="黑体"/>
        <charset val="134"/>
      </rPr>
      <t>威仪</t>
    </r>
    <r>
      <rPr>
        <sz val="12"/>
        <rFont val="宋体"/>
        <charset val="134"/>
      </rPr>
      <t>:贴标签、5</t>
    </r>
    <r>
      <rPr>
        <sz val="12.5"/>
        <rFont val="黑体"/>
        <charset val="134"/>
      </rPr>
      <t>风</t>
    </r>
    <r>
      <rPr>
        <sz val="12"/>
        <rFont val="宋体"/>
        <charset val="134"/>
      </rPr>
      <t>:信息茧房、6</t>
    </r>
    <r>
      <rPr>
        <sz val="12.5"/>
        <rFont val="黑体"/>
        <charset val="134"/>
      </rPr>
      <t>火</t>
    </r>
    <r>
      <rPr>
        <sz val="12"/>
        <rFont val="宋体"/>
        <charset val="134"/>
      </rPr>
      <t>:颠倒黑白定刑罚</t>
    </r>
    <r>
      <rPr>
        <sz val="3"/>
        <rFont val="宋体"/>
        <charset val="134"/>
      </rPr>
      <t xml:space="preserve">
</t>
    </r>
    <r>
      <rPr>
        <sz val="12"/>
        <rFont val="宋体"/>
        <charset val="134"/>
      </rPr>
      <t>「正」「反」「提」「脱除」「谣」是千门八将。其中「正」是初心。「反」是合规的引导抓手、最常见基于人性的风控。「脱除」分别对应高低阶扫尾技法。「谣」是尸位素餐者的满口胡言。六将配合在会议上注入干扰完成控场，这是一个盘根错节的控场网络。二桃杀三士，格局常变幻，为何用正反提脱谣作为预警信号？依据是干扰的种类。正:愿景一把手的初心决定组织上限，提:常务二把手的权隐决定组织下限，反:诡谲三把手的威仪决定业务风控，谣:断章取义等低级错误决定执行力。脱:先摸清上限、下限、风控、执行力四者的干扰源，然后深刻评估干扰源存续和转化的情况。</t>
    </r>
    <r>
      <rPr>
        <u/>
        <sz val="12.5"/>
        <color indexed="10"/>
        <rFont val="黑体"/>
        <charset val="134"/>
      </rPr>
      <t>「主权灯塔」是「在信息论背景种评估正反提脱谣框架」，即「3位把手的格局+1项业务执行力+1次干扰源的全面深刻的评估」</t>
    </r>
    <r>
      <rPr>
        <sz val="12.5"/>
        <rFont val="宋体"/>
        <charset val="134"/>
      </rPr>
      <t>。</t>
    </r>
    <r>
      <rPr>
        <sz val="12"/>
        <rFont val="宋体"/>
        <charset val="134"/>
      </rPr>
      <t>四类人员的维护成本差异极大，某人煞费苦心竖起主权灯塔、当然是为了宣誓主权。摸清耳目和正反提脱谣诸将的控场网络，进可以指导职业预期定规划，退可以净心从众得平安。</t>
    </r>
    <r>
      <rPr>
        <sz val="3"/>
        <rFont val="宋体"/>
        <charset val="134"/>
      </rPr>
      <t xml:space="preserve">
</t>
    </r>
    <r>
      <rPr>
        <sz val="12"/>
        <rFont val="宋体"/>
        <charset val="134"/>
      </rPr>
      <t>「风」和「火」是信息茧房的碰撞方式，这是战斗。我们说，沟通受限的组织中“贴标签”更通俗的提法是“立威=贴标签时无人指正”“分而治之”等...  名利场中执念的冲撞强度有以下等级，青:等价交换的产品信仰；蓝:勤心精进地经营路径依赖这一亩心田；尘:踏入滚滚红尘，经营小圈子拉帮结派；风:打手常年立威；火:白手套随时切割责任。我个人观察，一名打手的单年不当得利大约15wRMB。白手套的不当得利差异很大、看平台规模。准备15w闲利再辅以临床心理辅导可以豢养打手。从正面冷静看这个问题，不当得利3w、5w是情绪价值，超15w时就需要警惕了，即便没人捅窗户纸，你要默相关人员已经完成心理建设。及时改口称老总，表态前按已黑化组织应答。此平台未必能够通过公允价值建立有效沟通，谨按照医学准则度量，威仪以上战术足以把敏感者逼成精神分裂。通俗的说法是，局中人都是装睡的人，不要幻想你可以唤醒装睡的人，权臣的操盘风格若是分而治之，你好自为之，在杀机四伏环境中要关注“随时可以给你贴上特定标签的人”。标签是你行走江湖的核心利益。一旦撕不下特定标签立即下跪认错。真朋友见跪的第一反应是冲过来扶起你。见跪不扶即是你交友不慎。择机处置、切忌放任被动。</t>
    </r>
    <r>
      <rPr>
        <sz val="3"/>
        <rFont val="宋体"/>
        <charset val="134"/>
      </rPr>
      <t xml:space="preserve">
</t>
    </r>
    <r>
      <rPr>
        <sz val="12.5"/>
        <rFont val="黑体"/>
        <charset val="134"/>
      </rPr>
      <t>回到颠倒黑白，现实情况是：你我都身陷某个大战略局中承担责任。切断对方所有有效连接，可以按权臣的偏好争夺战略目标的定义权</t>
    </r>
    <r>
      <rPr>
        <sz val="12"/>
        <rFont val="黑体"/>
        <charset val="134"/>
      </rPr>
      <t>。</t>
    </r>
    <r>
      <rPr>
        <sz val="12"/>
        <rFont val="宋体"/>
        <charset val="134"/>
      </rPr>
      <t>在名利场中，筑信息茧房后可以颠倒“特定视角的黑白”。第一事心里有谱</t>
    </r>
    <r>
      <rPr>
        <sz val="12"/>
        <color rgb="FFFF0000"/>
        <rFont val="宋体"/>
        <charset val="134"/>
      </rPr>
      <t>知轻重</t>
    </r>
    <r>
      <rPr>
        <sz val="12"/>
        <rFont val="宋体"/>
        <charset val="134"/>
      </rPr>
      <t>。通晓所在产业的刑名钱粮等实务，所在产业的大致薪资，所在企业的大致薪资；第二事</t>
    </r>
    <r>
      <rPr>
        <sz val="12"/>
        <color rgb="FFFF0000"/>
        <rFont val="宋体"/>
        <charset val="134"/>
      </rPr>
      <t>留心机</t>
    </r>
    <r>
      <rPr>
        <sz val="12"/>
        <rFont val="宋体"/>
        <charset val="134"/>
      </rPr>
      <t>欲听懂话外音，先打探所在企业的强势部门和控场网络，干系人待遇、kpi、调薪等，干系人私交亲友等联结，企业重大事件的经历。第三事良禽择木而栖。看灯塔，企业的一把手择友观无碍的前提下，遇主权灯塔偏颇而你恰有能力补其偏斜、拼命争取不言放弃。事后提前撤离官道。第四事中庸。优待四类人的前提下以业务运营为准绳。哪里适合得到什么？只拿适合拿的。看事说话，减少人情牵绊避免消耗初心。四类人是“知轻重者”“军人”“风口产业内的销冠”“资深研发”；第五做害事要果断要阳谋要罚酒三杯。人员流动不可避免，有真才干的同僚必然揣摩过大局看清了处境，他也明白对果断的阳谋深仇大恨并无意义。心胸狭隘者切忌当众面刺，遇到过不去的槛时特别强调阳谋的果断；第六看一把手。他是最后仲裁人，平心而论，大局控场人完全没有必要偏袒。一旦你确认严重偏袒及时“补救牵挂/有效连接”，再失败不要想太多，接受眼前失败留心下次机会，无论机会远近，常问自己机会降临时是否准备好?</t>
    </r>
  </si>
  <si>
    <t>吴挺吴曦的是将才。原因正是第5条所提的「信任」的问题</t>
  </si>
  <si>
    <t>楞严经主要版本说明：</t>
  </si>
  <si>
    <t>陆游比较特殊。早前从政时因派系明确支持多练陆军，退隐之后支持「两淮水军防守保本」。其本意应该是「水军稳陆军精」</t>
  </si>
  <si>
    <t>大正藏本。流通量第一。这是佛学院研究写作的基线。T0945版(标注多种异文)</t>
  </si>
  <si>
    <t>辛弃疾陈亮的国防战略是步兵是主力，见第8条。陈贾没有成体系地陈述其国防战略</t>
  </si>
  <si>
    <t>乾隆龙藏本。流通量第二。简体版、繁体版(竖排)、圆瑛扩展版(偏讲义教法)、仁慧草堂扩展版(标注多种异文)</t>
  </si>
  <si>
    <r>
      <rPr>
        <sz val="12"/>
        <rFont val="宋体"/>
        <charset val="134"/>
        <scheme val="minor"/>
      </rPr>
      <t>从政治上看，</t>
    </r>
    <r>
      <rPr>
        <sz val="12"/>
        <rFont val="标准粗黑"/>
        <charset val="134"/>
      </rPr>
      <t>吴挺吴曦无法发挥军事才能很可惜</t>
    </r>
    <r>
      <rPr>
        <sz val="12"/>
        <rFont val="宋体"/>
        <charset val="134"/>
        <scheme val="minor"/>
      </rPr>
      <t>，其余几人对军事格局并无直接影响</t>
    </r>
  </si>
  <si>
    <t>嘉兴藏本。龙藏本出现之前流通量最大</t>
  </si>
  <si>
    <t>从履历看余端礼兵法应该是务实的。那么，余端礼大概率主张「两淮水军为主力」的国防战略</t>
  </si>
  <si>
    <t>宋开宝藏本。部分佚传，但其承袭是唐代智昇《开元释教录》，该书无断句、长行排版</t>
  </si>
  <si>
    <t>赵汝愚提拔了朱熹在内的理学一众官员。赵汝愚得罪韩侂胄招致倾轧，1195年主战派一众官员遭遇庆元党禁</t>
  </si>
  <si>
    <t>其它较著名的藏本有：敦煌唐写本、房山石经、永乐南藏本、永乐北藏本、满蒙藏译本、等</t>
  </si>
  <si>
    <t>实际走向是朱熹赵汝愚没兵权，给孩子皇位解开了“凤娘的焦虑”。释放李凤娘的地盘后、北伐风气慢慢形成</t>
  </si>
  <si>
    <r>
      <rPr>
        <sz val="11.5"/>
        <rFont val="宋体"/>
        <charset val="134"/>
      </rPr>
      <t xml:space="preserve">楞严经龙藏简体版本的行文框架是=第一二卷征心显见; 第三卷如来藏; </t>
    </r>
    <r>
      <rPr>
        <sz val="11.5"/>
        <color rgb="FFFF0000"/>
        <rFont val="宋体"/>
        <charset val="134"/>
      </rPr>
      <t>第四卷辨妄</t>
    </r>
    <r>
      <rPr>
        <sz val="11.5"/>
        <rFont val="宋体"/>
        <charset val="134"/>
      </rPr>
      <t>; 五～十卷校修行</t>
    </r>
  </si>
  <si>
    <t>韩侂胄是极力主战派。凭党禁快速成为核心决策层。韩侂胄有外戚身份。但不是以宫帏手段参政，他确实有能力以政见入朝</t>
  </si>
  <si>
    <t>修行的内容的行文框架是=五卷法门平等; 六#七卷仪轨; 八卷感召诸相; 九#十卷魔境举例</t>
  </si>
  <si>
    <t>韩侂胄所提拔官员多追求私利。1205北伐因四川武将相争步兵战败。1207韩侂胄被杀，尸体送金国求和</t>
  </si>
  <si>
    <t>第四卷辨妄的行文框架是=a提出染问遍问; b答染问; c答遍问; d修行:弃有为相; e通达:六根清净、转境由心</t>
  </si>
  <si>
    <t>干
系
人
决
策
情
态
复
盘</t>
  </si>
  <si>
    <t>皇宫不是「泼妇撒野后拍拍屁股没啥事」的地方。留正出走光宗退位全凭朱熹赵汝愚一腔正气，而李凤娘全身而退自有道理</t>
  </si>
  <si>
    <t>染问俗喻=如来藏无生无染，为何凭空生出山河大地诸有为相？</t>
  </si>
  <si>
    <t>“</t>
  </si>
  <si>
    <t>光宗因故离不开李凤娘，最后弄失了宋朝国本。这是光宗交出的答卷</t>
  </si>
  <si>
    <r>
      <rPr>
        <sz val="11.5"/>
        <color rgb="FFFF0000"/>
        <rFont val="宋体"/>
        <charset val="134"/>
      </rPr>
      <t>答染问=不能契合圆成实则生出摩擦纠葛，这纠葛称“妄执”</t>
    </r>
    <r>
      <rPr>
        <sz val="11.5"/>
        <rFont val="宋体"/>
        <charset val="134"/>
      </rPr>
      <t>。凡夫观照显现为“</t>
    </r>
    <r>
      <rPr>
        <sz val="11.5"/>
        <color rgb="FF262626"/>
        <rFont val="黑体"/>
        <charset val="134"/>
      </rPr>
      <t>相</t>
    </r>
    <r>
      <rPr>
        <sz val="11.5"/>
        <rFont val="宋体"/>
        <charset val="134"/>
      </rPr>
      <t xml:space="preserve">” = </t>
    </r>
    <r>
      <rPr>
        <sz val="11.5"/>
        <color rgb="FF262626"/>
        <rFont val="黑体"/>
        <charset val="134"/>
      </rPr>
      <t>色相</t>
    </r>
    <r>
      <rPr>
        <sz val="11.5"/>
        <color rgb="FF333333"/>
        <rFont val="宋体"/>
        <charset val="134"/>
      </rPr>
      <t>、</t>
    </r>
    <r>
      <rPr>
        <sz val="11.5"/>
        <color rgb="FF262626"/>
        <rFont val="黑体"/>
        <charset val="134"/>
      </rPr>
      <t>有情相</t>
    </r>
    <r>
      <rPr>
        <sz val="11.5"/>
        <color rgb="FF333333"/>
        <rFont val="宋体"/>
        <charset val="134"/>
      </rPr>
      <t>、</t>
    </r>
    <r>
      <rPr>
        <sz val="11.5"/>
        <color rgb="FF262626"/>
        <rFont val="黑体"/>
        <charset val="134"/>
      </rPr>
      <t>业果相</t>
    </r>
  </si>
  <si>
    <t>在心理投射被满足之前，李凤娘这种人堪称宫闱之中的「头等舱猎手」。按赵构的细腻和权谋应该能看到这风险吧，他想试一试</t>
  </si>
  <si>
    <t>答染问=佛陀进一步以迷方喻、翳眼喻等喻，说明妄本无因</t>
  </si>
  <si>
    <t>直觉上，个人认为赵构选李风娘做孙媳、是想给赵家人长一些血性以组建骁勇军。可惜孙辈无能驾驭刚烈、此事功亏一篑</t>
  </si>
  <si>
    <t>例: 直白者的妄执。惯于“一手交钱一手交货”的人，即便投身创新型业态、也难驾驭增量型的现象级价值</t>
  </si>
  <si>
    <t>光宗的上下文中，因为李凤娘刻薄拆台直接被干崩了。此状态，一看光宗的学习力，二看光宗朋友圈子，然后随缘</t>
  </si>
  <si>
    <t>拒绝延迟满足的直白者，建共识的准绳是「数字度量/一手交钱一手交货」</t>
  </si>
  <si>
    <t>李凤娘决策严重受密友影响，前期党争悍烈后期笃修佛法。我称前期为中医原教旨，下述《道法术势框架》可理解其脑回路</t>
  </si>
  <si>
    <t>允许延迟满足的周全者，建共识的准绳是「泛函的收敛性/允许等待一段时间之后才兑现数字度量」</t>
  </si>
  <si>
    <t>生性畏寒喜燥，惦念体面趣艺</t>
  </si>
  <si>
    <t>遍问俗喻=在色相中，我曾利用数据、指标、合规度量等无可篡改的逻辑链，生生砸碎对手构筑的信息茧房。但是</t>
  </si>
  <si>
    <t>待</t>
  </si>
  <si>
    <r>
      <rPr>
        <sz val="12"/>
        <rFont val="宋体"/>
        <charset val="134"/>
        <scheme val="minor"/>
      </rPr>
      <t>行动毫无边界，表彰刚烈仗义</t>
    </r>
    <r>
      <rPr>
        <sz val="10.5"/>
        <color indexed="23"/>
        <rFont val="方正仿宋_GBK"/>
        <charset val="134"/>
      </rPr>
      <t xml:space="preserve"> &lt;==这并不是“系统性方法论”。义勇是一座教法的彩虹桥，它落地后将是代偿型方法论，所以两类人群互补</t>
    </r>
  </si>
  <si>
    <t>在有情相业果相面前，我仍想继续维护佛法，却深感力有不逮。伏乞世尊开示，其理何为？</t>
  </si>
  <si>
    <t>定</t>
  </si>
  <si>
    <r>
      <rPr>
        <sz val="12"/>
        <rFont val="宋体"/>
        <charset val="134"/>
        <scheme val="minor"/>
      </rPr>
      <t>精通中医奇方，惯用套路得胜</t>
    </r>
    <r>
      <rPr>
        <sz val="10.5"/>
        <color indexed="23"/>
        <rFont val="方正仿宋_GBK"/>
        <charset val="134"/>
      </rPr>
      <t xml:space="preserve"> &lt;==注意其措辞非公允性。在“术”这个层面上，其行为收敛于权势+内分泌神经系统+对方情商</t>
    </r>
  </si>
  <si>
    <t>答遍问=有情相业果相无处不在，因为凡夫妄心中有因缘执、自然执、等。执着只能由个体自己主动修行改善</t>
  </si>
  <si>
    <t>”</t>
  </si>
  <si>
    <r>
      <rPr>
        <sz val="12"/>
        <rFont val="宋体"/>
        <charset val="134"/>
        <scheme val="minor"/>
      </rPr>
      <t>面前气势杀人，背后有机无心</t>
    </r>
    <r>
      <rPr>
        <sz val="10.5"/>
        <rFont val="方正仿宋_GBK"/>
        <charset val="134"/>
      </rPr>
      <t xml:space="preserve">                            </t>
    </r>
    <r>
      <rPr>
        <sz val="10.5"/>
        <color indexed="23"/>
        <rFont val="方正仿宋_GBK"/>
        <charset val="134"/>
      </rPr>
      <t>基于“权势-情绪-情商”模式，他不适应独自打磨、而是倾向找人陪练</t>
    </r>
  </si>
  <si>
    <t>「佛法」是真如实相。「教法」促成修行的话头。“榜样教法”、“择友观教法”的效用可以接近「佛法」</t>
  </si>
  <si>
    <t>中医原教旨者偏好抬轿子的文化结构，盈余分配直观看生理性喜欢。账面上对脚夫仅支付工时体力的成本，截留了业务性价值。</t>
  </si>
  <si>
    <t>例: 放下屠刀立地成佛 评议。1252年普济禅师编成《五灯会元》。其中，东山觉禅师篇首次包含此八字诀</t>
  </si>
  <si>
    <t>抬轿子团队中方法论层面直觉侵蚀专业。风格化做秀是主旋律，这导致业务会议中呈现‘愿景’和‘众口不甘说奇谋’的二元画风。</t>
  </si>
  <si>
    <t>修行者顿悟发慈悲心可以见性成佛。慈悲心和屠杀心的心所法冲突，所谓顿悟、必然已经灭尽了屠杀心。</t>
  </si>
  <si>
    <t>朱熹用「极致的柔软」建立了头等舱猎手的有效沟通。头等舱猎手也可以共同协作，从此，妥协性在中国文化范围内大流行。</t>
  </si>
  <si>
    <t>果位需要具足智慧和福德两资粮。见性成佛中的见性未涉及福德。杀戒则减损了福德，这增加了修行者证果位的</t>
  </si>
  <si>
    <r>
      <rPr>
        <sz val="12"/>
        <color theme="1"/>
        <rFont val="宋体"/>
        <charset val="134"/>
        <scheme val="minor"/>
      </rPr>
      <t>这不能证明妥协性是完美的文化工具，但足以证明</t>
    </r>
    <r>
      <rPr>
        <sz val="12"/>
        <color indexed="8"/>
        <rFont val="宋体"/>
        <charset val="134"/>
      </rPr>
      <t>朱熹教诲比当时的原生态中医原教旨更“好”</t>
    </r>
  </si>
  <si>
    <t>难度。当然，福德可累计，坚持修更大福德在业受报方面能够抵消早前减损。这累计并非算数加减法。「灵魂是当</t>
  </si>
  <si>
    <t>儒学自述</t>
  </si>
  <si>
    <t>思考深度和
自制力范式</t>
  </si>
  <si>
    <t>解离感机制</t>
  </si>
  <si>
    <t>「中医原教旨者」易沉迷生理性喜欢。
切忌痴呆缩瞳吐舌头。建议日常找搭子每周跑俩次十公里、辅以话剧导入阅读小说的爱好</t>
  </si>
  <si>
    <t>事人用一生画的一幅铅笔画」，此人在生死之间所有的历练都历历在目，一笔也不会漏掉。可见历事即是炼心。</t>
  </si>
  <si>
    <r>
      <rPr>
        <sz val="14"/>
        <rFont val="宋体"/>
        <charset val="134"/>
      </rPr>
      <t>上图是笔者在2017春拍摄的渡月桥
很喜欢明石君的性格。谨以《成人札记初心版</t>
    </r>
    <r>
      <rPr>
        <sz val="14"/>
        <rFont val="冬青黑体简体中文"/>
        <charset val="134"/>
      </rPr>
      <t>・</t>
    </r>
    <r>
      <rPr>
        <sz val="14"/>
        <rFont val="宋体"/>
        <charset val="134"/>
      </rPr>
      <t>RGBA四篇》献给明石君。致千年前岸边明石，致百年后我的初心。</t>
    </r>
    <r>
      <rPr>
        <sz val="14"/>
        <rFont val="标准粗黑"/>
        <charset val="134"/>
      </rPr>
      <t xml:space="preserve">
</t>
    </r>
    <r>
      <rPr>
        <sz val="14"/>
        <rFont val="宋体"/>
        <charset val="134"/>
      </rPr>
      <t>如薄暮时分照亮渡月桥的温柔灯火，是上游清冽的桂川水的洁净能源所驱动。极冷之水催生出极柔之光，经住了时间的思念。</t>
    </r>
  </si>
  <si>
    <t>捧场抬轿子</t>
  </si>
  <si>
    <t>解离感(社会化障碍)</t>
  </si>
  <si>
    <t>修行之路是弃有为相。验收标准是六根清净、转境由心</t>
  </si>
  <si>
    <t>1、中医原教旨</t>
  </si>
  <si>
    <t>飘泊而散漫</t>
  </si>
  <si>
    <t>赌性</t>
  </si>
  <si>
    <t>肉：执迷不悔</t>
  </si>
  <si>
    <t>2、敬畏感</t>
  </si>
  <si>
    <t>飘泊而自持</t>
  </si>
  <si>
    <t>外境观照</t>
  </si>
  <si>
    <t>灵与肉的机变</t>
  </si>
  <si>
    <t>3、追求境界</t>
  </si>
  <si>
    <t>驾驭而散漫</t>
  </si>
  <si>
    <t>说理者</t>
  </si>
  <si>
    <t>灵：清高的独立</t>
  </si>
  <si>
    <t>名
利
场
局</t>
  </si>
  <si>
    <t>中
庸
定位</t>
  </si>
  <si>
    <r>
      <rPr>
        <b/>
        <sz val="10.5"/>
        <color theme="1" tint="0.249977111117893"/>
        <rFont val="FZFangSong-Z02"/>
        <charset val="0"/>
      </rPr>
      <t xml:space="preserve">〖寻常人家健与粮〗= [(1健康 + 2钱粮) +3思考深度的学习力 +4家庭和教育 +5心流:碳基自由感释放感] +6月见草 +7爱好 +8混圈子
</t>
    </r>
    <r>
      <rPr>
        <sz val="10.5"/>
        <color theme="1" tint="0.249977111117893"/>
        <rFont val="方正仿宋_GBK"/>
        <charset val="0"/>
      </rPr>
      <t>此处的爱好特指足以赢得尊敬的活动、至少要达到炫技级别，可以是巧舌如簧，可以是事业宏达，但不可以是单纯地追求心理学的释放感</t>
    </r>
    <r>
      <rPr>
        <sz val="10.5"/>
        <color theme="1" tint="0.249977111117893"/>
        <rFont val="FZFangSong-Z02"/>
        <charset val="0"/>
      </rPr>
      <t>。入世先让渡弹性权力，显现月见草的轮廓。</t>
    </r>
    <r>
      <rPr>
        <sz val="10.5"/>
        <color theme="1" tint="0.249977111117893"/>
        <rFont val="方正仿宋_GBK"/>
        <charset val="0"/>
      </rPr>
      <t>一般人关注的是家和万事兴人强百日胜，普通人生主要讲勤勉+热爱。这类人称中庸者，和半环主权者的</t>
    </r>
    <r>
      <rPr>
        <sz val="10.5"/>
        <color theme="1" tint="0.249977111117893"/>
        <rFont val="FZFangSong-Z02"/>
        <charset val="0"/>
      </rPr>
      <t>“</t>
    </r>
    <r>
      <rPr>
        <sz val="10.5"/>
        <color theme="1" tint="0.249977111117893"/>
        <rFont val="方正仿宋_GBK"/>
        <charset val="0"/>
      </rPr>
      <t>权力操盘思维</t>
    </r>
    <r>
      <rPr>
        <sz val="10.5"/>
        <color theme="1" tint="0.249977111117893"/>
        <rFont val="FZFangSong-Z02"/>
        <charset val="0"/>
      </rPr>
      <t>”</t>
    </r>
    <r>
      <rPr>
        <sz val="10.5"/>
        <color theme="1" tint="0.249977111117893"/>
        <rFont val="方正仿宋_GBK"/>
        <charset val="0"/>
      </rPr>
      <t>脱节之后追求自我实现。</t>
    </r>
  </si>
  <si>
    <t>4、致良知</t>
  </si>
  <si>
    <t>驾驭而自持</t>
  </si>
  <si>
    <t>场面</t>
  </si>
  <si>
    <t>灵与肉浑然一体</t>
  </si>
  <si>
    <t>四川姓吴，试问襄阳能练什么精兵？吴家门口练精兵，出于军阀的生存本能，襄军战力难以胜任杀吴夺川或北伐陆军督战队</t>
  </si>
  <si>
    <t>个人认为最优解是拿川军兵权。扣押吴曦无果，太子是凤娘的特洛伊、谁是吴家的特洛伊？次优解是联姻拿兵权。否则太迂腐</t>
  </si>
  <si>
    <t>化解凤娘是大功。迂腐正是凭前期功勋竞得权势，然后被亲切的圈子所裹挟、去指挥一场完全不同的战斗，祸国殃民</t>
  </si>
  <si>
    <t>代
偿
式
分
工定位</t>
  </si>
  <si>
    <t>半环型初心者是不知疲倦的奔跑者。有如家庭教育中抬杠宠溺钝化孩子内驱力，即便是数学直觉+场面敏感、最终政治表现抗挫力低，没碳基人会灭绝欲望、只是不抗风浪。不能停，在成长这条路上，我们弄丢了很多东西、不可能回去从前，人生剩的这些林林总总就是成年意像：</t>
  </si>
  <si>
    <t>跳
出
一
时
一
事
看
路
径
依
赖
妥
协
性</t>
  </si>
  <si>
    <t>笔者曾在某彩票项目中遭遇霸凌，事后我和z讨论，我问“是不是存在一个鄙视链”，他沉默一会，原话是“我不认为有”。这句话印象很深。仔细考虑后是有的，准确名字是「源自文化的霸凌」这包含学校霸凌、职场霸凌、等
霸凌在新人融入组织的最初阶段总会出现，某文化正在重建新人边界感</t>
  </si>
  <si>
    <t>空气中的边界感：</t>
  </si>
  <si>
    <t>iii、不靠谱=不考虑后果地耍酷炫技</t>
  </si>
  <si>
    <t>思考深度能驾驭但无结果，则不是边界感，而是诸如太懒散没动力优化找理由托辞。只有无法驾驭者才称耍酷和不甘，认知不达标则只能聊酷，只能聊情怀</t>
  </si>
  <si>
    <r>
      <rPr>
        <sz val="10.5"/>
        <color theme="1"/>
        <rFont val="方正仿宋_GBK"/>
        <charset val="134"/>
      </rPr>
      <t>自由类碳基心智模型</t>
    </r>
    <r>
      <rPr>
        <sz val="9"/>
        <color theme="0" tint="-0.5"/>
        <rFont val="方正仿宋_GBK"/>
        <charset val="134"/>
      </rPr>
      <t xml:space="preserve">
独奏者</t>
    </r>
    <r>
      <rPr>
        <u/>
        <sz val="9"/>
        <color theme="0" tint="-0.5"/>
        <rFont val="方正仿宋_GBK"/>
        <charset val="134"/>
      </rPr>
      <t>直面名利</t>
    </r>
    <r>
      <rPr>
        <sz val="9"/>
        <color theme="0" tint="-0.5"/>
        <rFont val="方正仿宋_GBK"/>
        <charset val="134"/>
      </rPr>
      <t>，协奏者的上下文是一个</t>
    </r>
    <r>
      <rPr>
        <u/>
        <sz val="9"/>
        <color theme="0" tint="-0.5"/>
        <rFont val="方正仿宋_GBK"/>
        <charset val="134"/>
      </rPr>
      <t>具有弹性主权</t>
    </r>
    <r>
      <rPr>
        <sz val="9"/>
        <color theme="0" tint="-0.5"/>
        <rFont val="方正仿宋_GBK"/>
        <charset val="134"/>
      </rPr>
      <t>的圈子系统</t>
    </r>
  </si>
  <si>
    <t>代偿协奏</t>
  </si>
  <si>
    <t>《代偿型荣格心智模型》</t>
  </si>
  <si>
    <t>承办周全</t>
  </si>
  <si>
    <r>
      <rPr>
        <sz val="9"/>
        <rFont val="方正仿宋_GBK"/>
        <charset val="134"/>
      </rPr>
      <t xml:space="preserve">以就职剪刀差为核心的当下存在主义
</t>
    </r>
    <r>
      <rPr>
        <sz val="10.5"/>
        <rFont val="方正仿宋_GBK"/>
        <charset val="134"/>
      </rPr>
      <t>《中庸、代偿和资源寻租三公式名利场框架》</t>
    </r>
  </si>
  <si>
    <t>endpointTo</t>
  </si>
  <si>
    <r>
      <rPr>
        <sz val="9"/>
        <rFont val="方正仿宋_GBK"/>
        <charset val="134"/>
      </rPr>
      <t xml:space="preserve">以数据审慎性为核心的AI存在主义：
</t>
    </r>
    <r>
      <rPr>
        <sz val="10.5"/>
        <rFont val="方正仿宋_GBK"/>
        <charset val="134"/>
      </rPr>
      <t>硅基负责审慎语义的某协作框架</t>
    </r>
  </si>
  <si>
    <r>
      <rPr>
        <sz val="12"/>
        <rFont val="宋体"/>
        <charset val="134"/>
      </rPr>
      <t>如果我们使用货币作为时代的尺子去审视东亚诸文化，会发现自己无法解释其政治表现。深层解构其范式，要理解主权灯塔如何在超大规模社会中维持运转。因此，我们完全可以套用</t>
    </r>
    <r>
      <rPr>
        <u/>
        <sz val="12.5"/>
        <color rgb="FFFF0000"/>
        <rFont val="黑体"/>
        <charset val="134"/>
      </rPr>
      <t>「军魂-中庸-沟通有效性」的三位一体结构</t>
    </r>
    <r>
      <rPr>
        <sz val="12"/>
        <rFont val="宋体"/>
        <charset val="134"/>
      </rPr>
      <t>的观察框架：军魂是打磨代偿上天遁地开新路。中庸是不精通领域内只拿平均待遇，允许均值随势而动、允许船沉掉。有效的沟通是行为的可预测性，有效沟通可建成彩虹桥，彩虹桥墩包含以下要素：彼岸观照、风格化、信仰之跃。</t>
    </r>
    <r>
      <rPr>
        <sz val="5"/>
        <rFont val="宋体"/>
        <charset val="134"/>
      </rPr>
      <t xml:space="preserve">
</t>
    </r>
    <r>
      <rPr>
        <sz val="12"/>
        <rFont val="宋体"/>
        <charset val="134"/>
      </rPr>
      <t>共识之路上，察觉蹊跷及时采用正反提谣框架评估控场强度，看是否存在一致性干扰源和动机？以你近期要考的驾照为例，你有驾照需求所以驾校不安排「正」；练车时手搭在车把并忽然带力是「反」；最终你会发现知识点有顺序，不按先后顺序或不给基础性知识点充分训练，或打散学员间交流是「提」；末位拖沓等政策是「脱」。驾校的控场动机是压低通过率增加业务量。拿证得去驾校，绕不过的！社会中经常出现类似处境，譬如，分解成两个子目标：学知识、拿证。首次去驾校前自学知识、先做到知识点融会贯通。</t>
    </r>
    <r>
      <rPr>
        <sz val="12"/>
        <color rgb="FFFF0000"/>
        <rFont val="宋体"/>
        <charset val="134"/>
      </rPr>
      <t>中庸：周全体贴地思考哪里适合得到什么？为了避免尴尬、只拿适合你拿的</t>
    </r>
    <r>
      <rPr>
        <sz val="12"/>
        <rFont val="宋体"/>
        <charset val="134"/>
      </rPr>
      <t>。</t>
    </r>
    <r>
      <rPr>
        <sz val="5"/>
        <rFont val="宋体"/>
        <charset val="134"/>
      </rPr>
      <t xml:space="preserve">
</t>
    </r>
    <r>
      <rPr>
        <sz val="12"/>
        <rFont val="宋体"/>
        <charset val="134"/>
      </rPr>
      <t>大半人可以“一把过”，你为什么不行？例如有种节奏感类型的点位，对慢热者而言就很艰难。节奏感需要两小时磨，慢热需要更多训练时间，有限时间内很可能无法驾驭点位。在驾校这是控场，在你、这是个性。坦然承认性格差异，准备好补考费多练几次车，并不是什么大不了的事。前述评估控场强度是确认可行性。一般情况是：教练措辞不贴切但初心可期。因它也也要避免砸招牌。“若你练车时放得开”可大幅节省精力，尝试按其点位组织注意力，能提高训练的效用。相信初心可期，认真地揣摩教练的表达方式。这需要你诚实地信任教练，需要你完全把自己交给教练。做一件新事，你习惯什么打法你预期能拿到什么效果、务实看能拿到什么效果？内行是什么打法实际给到什么效果，都想清楚再规划自己的路，这叫</t>
    </r>
    <r>
      <rPr>
        <u/>
        <sz val="12"/>
        <rFont val="宋体"/>
        <charset val="134"/>
      </rPr>
      <t>双向选择</t>
    </r>
    <r>
      <rPr>
        <sz val="12"/>
        <rFont val="宋体"/>
        <charset val="134"/>
      </rPr>
      <t>，这人间是双向选择的人间。只谈你自己习惯什么打法而要求公平待遇，这叫</t>
    </r>
    <r>
      <rPr>
        <u/>
        <sz val="12"/>
        <rFont val="宋体"/>
        <charset val="134"/>
      </rPr>
      <t>眼高手低</t>
    </r>
    <r>
      <rPr>
        <sz val="12"/>
        <rFont val="宋体"/>
        <charset val="134"/>
      </rPr>
      <t>。如果只用一种打法、只能是内行打法，这叫</t>
    </r>
    <r>
      <rPr>
        <u/>
        <sz val="12"/>
        <rFont val="宋体"/>
        <charset val="134"/>
      </rPr>
      <t>信仰之跃</t>
    </r>
    <r>
      <rPr>
        <sz val="12"/>
        <rFont val="宋体"/>
        <charset val="134"/>
      </rPr>
      <t>。</t>
    </r>
    <r>
      <rPr>
        <sz val="5"/>
        <rFont val="宋体"/>
        <charset val="134"/>
      </rPr>
      <t xml:space="preserve">
</t>
    </r>
    <r>
      <rPr>
        <sz val="12"/>
        <rFont val="宋体"/>
        <charset val="134"/>
      </rPr>
      <t>看个例子，耐力跑有髋臀发力、大腿发力、远端发力等发力方式。普通爱好者，在状态良好时，推荐微收臀部辅助送髋。一旦腿沉乏力，切成高步频大腿发力两分钟给髋臀减压。髋臀无法恢复则降速。或切小腿手臂远端发力，远端发力必降速！再不济放弃本次马拉松。初练耐力跑要先领会这个代偿框架并组织专项切换训练。否则不要碰全马，最多止步215半马。为什么是两分钟？一般肌肉分布的体育底子的人，超3分钟会力竭、不由自主地切远端代偿降速。超5分钟无氧系统完全枯竭、再强跑就会抽筋。代偿是禁用最省力最主流的方案的状态完成任务，打磨代偿的经历就是不断伤害自己的历程。如果你非要坚持不降速，那你必须极度擅长在身体崩溃边缘、忍痛用错误姿势死撑。正面代偿例子，在鞋底放有棱角小石块体会瘸腿者的代偿，用围巾遮挡双眼体会盲人的代偿。代偿是文化的一个组成部分，有一个词叫做人海战术，这个词有可能是指堆砌步枪火力，也可能是指有效地整合每个人自戕式代偿，在东亚，你看见的一定是前者。但凡能够坚持目标的人首先要成为一个擅长</t>
    </r>
    <r>
      <rPr>
        <sz val="12"/>
        <color rgb="FFFF0000"/>
        <rFont val="宋体"/>
        <charset val="134"/>
      </rPr>
      <t>打磨代偿</t>
    </r>
    <r>
      <rPr>
        <sz val="12"/>
        <rFont val="宋体"/>
        <charset val="134"/>
      </rPr>
      <t xml:space="preserve">的人。
</t>
    </r>
    <r>
      <rPr>
        <sz val="5"/>
        <rFont val="宋体"/>
        <charset val="134"/>
      </rPr>
      <t xml:space="preserve">
</t>
    </r>
    <r>
      <rPr>
        <sz val="12"/>
        <rFont val="宋体"/>
        <charset val="134"/>
      </rPr>
      <t>初心可期，人皆有「牵挂」。你要知道，直觉性决策即信息茧房，任何人都在自己的信息茧房内。奔赴初心，即便暂时困苦也坚持，这就是建立了有效连接，依靠牵挂可以建有效沟通、能建起有效链接那么相处也成为可期。牵挂是信息茧房的碰撞方式之一，譬如慢热者的大难题是遇见头等舱猎手，可参考天台宗佛教的说法，牵挂开合有四种：顿、渐、秘、不定。天台智者法师讲解不定时最常用的经文是“譬如有人置毒乳中，乳即杀人，酪、酥、醍醐亦能杀人。”。有效沟通是路径依赖妥协性范畴内的风控。没风险时人总能处的。如果性格决定某人得势后必定打击报复，要提前风控。当对手试图用「风」和「火」来攻击你时，不要在局内做无谓的口舌之争，</t>
    </r>
    <r>
      <rPr>
        <sz val="12"/>
        <color rgb="FFFF0000"/>
        <rFont val="宋体"/>
        <charset val="134"/>
      </rPr>
      <t>学会用「有效沟通」把自己捞出来。 呵护心目中最柔软的地方，如此你会看见一部分的初心</t>
    </r>
    <r>
      <rPr>
        <sz val="12"/>
        <rFont val="宋体"/>
        <charset val="134"/>
      </rPr>
      <t>。</t>
    </r>
    <r>
      <rPr>
        <sz val="5"/>
        <rFont val="宋体"/>
        <charset val="134"/>
      </rPr>
      <t xml:space="preserve">
</t>
    </r>
    <r>
      <rPr>
        <sz val="12"/>
        <rFont val="宋体"/>
        <charset val="134"/>
      </rPr>
      <t>让子弹飞。既得利益集团在结构上必是若干互有重叠的小圈子。问题不在是不是小圈子，而在最后仲裁的圈子中有没有敬畏心。白手套短期必定是有效的。只是，没有单个个人可以永撷权柄时，失势如何自保？遇可沟通者只列阳谋。遇狭隘者按场面展开话头，动手则务求斩草除根。看似无解，实际上，东亚多个文化分别独立地形成太阳式权力结构。其特征是不平等的最后仲裁机制，独特的地位托起了最后仲裁人、他没有必要成为业务性利益的利益相关人，在最后仲裁人的思考深度正常的前提下不会出现无下限的偏袒。这内蕴了一个《双轨的话术》结构：在泛沟通中你只能谈阳谋。</t>
    </r>
  </si>
  <si>
    <t>ii、不甘心=中医原教旨</t>
  </si>
  <si>
    <t>i、不驾驭=不能准确复述中肯复盘细节</t>
  </si>
  <si>
    <t>张力协奏</t>
  </si>
  <si>
    <t>《主权张力心智模型》</t>
  </si>
  <si>
    <r>
      <rPr>
        <sz val="9"/>
        <rFont val="方正仿宋_GBK"/>
        <charset val="134"/>
      </rPr>
      <t xml:space="preserve">以美学为核心的碳基富养主义：
</t>
    </r>
    <r>
      <rPr>
        <sz val="10.5"/>
        <rFont val="方正仿宋_GBK"/>
        <charset val="134"/>
      </rPr>
      <t>碳基负责低耗能美学语义的某协作框架</t>
    </r>
  </si>
  <si>
    <t>-3、存在习惯性事后甩锅</t>
  </si>
  <si>
    <t>存在系统性甩锅，则众口会议中的主权必然以“霸凌”方式外溢在空气中形成不可言说的鄙视链
勿为他人眼泪过度承压。系统性甩锅、强迫认同、不懂拒均是心智不成熟，心智不成熟则只能聊主权立场</t>
  </si>
  <si>
    <t>-2、强迫对方认同=带义勇倾向的教法</t>
  </si>
  <si>
    <t>孤单地独奏</t>
  </si>
  <si>
    <t>〖成年意像〗=思考深度能驾驭名利场社交 + 情绪自控力 + 解离感机制 + 追求他眼中最极致的柔软 + 混圈子 + 留给百年后初心的话</t>
  </si>
  <si>
    <t>-1、不懂拒绝=强行或软性地被裹挟</t>
  </si>
  <si>
    <r>
      <rPr>
        <sz val="10.5"/>
        <rFont val="方正仿宋_GBK"/>
        <charset val="134"/>
      </rPr>
      <t>符号博弈中留白策略的例子。源氏物语中抚恤将改善夕颜孩子的生活，那么，倘由侍女右近抚育之，“留白”会使孩子具有强妥协性、代偿视角下她的心智模型终会长成为更强妥协性的小夕颜。名利场中“场面驾驭自如+海王级体贴+30w不当得利”足以在两年内、把任何懵懂的脑回路捏成任意形状。这是典型的耗散壁垒数学结构。
东亚文化存在极强妥协性。差异在教法，基督教"基督好榜样教法""圣经原文权威教法"则中规中矩。儒家在孝道教法中将路径依赖妥协性神圣化，后期儒学发展选择了磨练增加代偿强度，进一步加重了这种妥协性。王阳明提供少许调和，只是要摄政的东西实在太多太累、良知难致。
总结，现代社会首先维护基于程序正义的强纳什公正性。</t>
    </r>
    <r>
      <rPr>
        <b/>
        <sz val="10.5"/>
        <rFont val="FZFangSong-Z02"/>
        <charset val="134"/>
      </rPr>
      <t>行文线索是“心”时内蕴路径依赖妥协性，实操中需要注意纠偏</t>
    </r>
    <r>
      <rPr>
        <sz val="10.5"/>
        <rFont val="方正仿宋_GBK"/>
        <charset val="134"/>
      </rPr>
      <t>。</t>
    </r>
  </si>
  <si>
    <t>0、复杂案件中仍存在挖坑拆台</t>
  </si>
  <si>
    <t>1、堂堂正正</t>
  </si>
  <si>
    <t>无人引路而认真的人，混迹名利场会自发形成这两条路“厘清分歧讨价还价”“经营人脉捞人”。此时再读儒生处事会有下述人事观照</t>
  </si>
  <si>
    <r>
      <rPr>
        <sz val="12"/>
        <rFont val="宋体"/>
        <charset val="134"/>
        <scheme val="minor"/>
      </rPr>
      <t>20、公权力基于国家主权。每个国家都需要在全球体系中找准生态位定位，文化应当和该国都全球地缘的生态位相适应。
      主权有权力，且有义务，引导文化与国家的全球战略生态位形成强烈的正向共振，而非脱节或内耗。
      目前主流都文化候选者是昂撒、中华、伊斯兰。实操中具体是把文化作为社会的组织技术和是决策的高维范式。
      昂撒核心特征是责权一致强延拓。伊斯兰特征是保守性，保守性和责权一致是同范式碎片化。中华儒学是“中庸-代偿-资源寻租”范式。
21、在</t>
    </r>
    <r>
      <rPr>
        <sz val="12"/>
        <color rgb="FFFF0000"/>
        <rFont val="宋体"/>
        <charset val="134"/>
        <scheme val="minor"/>
      </rPr>
      <t>创新性</t>
    </r>
    <r>
      <rPr>
        <sz val="12"/>
        <rFont val="宋体"/>
        <charset val="134"/>
        <scheme val="minor"/>
      </rPr>
      <t>方面，中国为什么没出现商业驱动型的工业革命？
      答没工业革命=中国本身一直是超级大陆型市场，海外扩张的动机不足；缺乏机器替代廉价劳动力的需求；海禁阻碍外贸等特定原因；
      答商业影响弱=商人牟利，中国未形成稳定可靠的信用体系；
                              私有财产缺少保障，压制甚至扼杀了民间商业的上进心；
                              科举集权体制构筑了商业天花板。重农抑商的二次分配格局迫使地主更愿意购买土地，江南甚至出现过转农潮流；
                              国家垄断盐铁核心工业，再度构筑了一层商业天花板；
      有昂撒学者把商业弱的原因用于解释没工业革命，忽视了文化中对商业影响力的代偿机制。进而规避讨论“文化在生态位定位中的作用”。</t>
    </r>
  </si>
  <si>
    <t>正面路线: 择友借外脑，经营算力加深思考。算力足够，能在终极底座之上厘清任意俩路线的分歧、总可以讨价还价的</t>
  </si>
  <si>
    <t>侧面路线: 平台经营思维。能在这里的人早摸过大形势，切忌追求完整确凿。平台经营看人脉，找干系人心田中最柔软的地方</t>
  </si>
  <si>
    <r>
      <rPr>
        <sz val="12"/>
        <color theme="0"/>
        <rFont val="宋体"/>
        <charset val="134"/>
        <scheme val="minor"/>
      </rPr>
      <t>.....................</t>
    </r>
    <r>
      <rPr>
        <sz val="12"/>
        <color theme="1"/>
        <rFont val="宋体"/>
        <charset val="134"/>
        <scheme val="minor"/>
      </rPr>
      <t>明确目标后，遇有干系人冷场，从他吐出的最后三个词汇中选一个即兴表演。是救下场、切忌放飞自我容易跑偏</t>
    </r>
  </si>
  <si>
    <t>摘
要</t>
  </si>
  <si>
    <r>
      <t>2025 年思考一些事构思了《成年意像体系》，但此版本过度追求造型化、略显凌乱。所以补充制作《2026版 RGBA》包含下述章节：
  红尘篇Red 是提出主权灯塔概念后，分三模块依次展开</t>
    </r>
    <r>
      <rPr>
        <u/>
        <sz val="11"/>
        <color theme="0" tint="-0.5"/>
        <rFont val="宋体"/>
        <charset val="134"/>
        <scheme val="minor"/>
      </rPr>
      <t>“经营六事”</t>
    </r>
    <r>
      <rPr>
        <sz val="11"/>
        <color theme="0" tint="-0.5"/>
        <rFont val="宋体"/>
        <charset val="134"/>
        <scheme val="minor"/>
      </rPr>
      <t>、</t>
    </r>
    <r>
      <rPr>
        <u/>
        <sz val="11"/>
        <color theme="0" tint="-0.5"/>
        <rFont val="宋体"/>
        <charset val="134"/>
        <scheme val="minor"/>
      </rPr>
      <t>“养心三位”</t>
    </r>
    <r>
      <rPr>
        <sz val="11"/>
        <color theme="0" tint="-0.5"/>
        <rFont val="宋体"/>
        <charset val="134"/>
        <scheme val="minor"/>
      </rPr>
      <t>，最后在</t>
    </r>
    <r>
      <rPr>
        <u/>
        <sz val="11"/>
        <color theme="0" tint="-0.5"/>
        <rFont val="宋体"/>
        <charset val="134"/>
        <scheme val="minor"/>
      </rPr>
      <t>“依赖性探讨章节”</t>
    </r>
    <r>
      <rPr>
        <sz val="11"/>
        <color theme="0" tint="-0.5"/>
        <rFont val="宋体"/>
        <charset val="134"/>
        <scheme val="minor"/>
      </rPr>
      <t>中完成统摄
  汉青篇Green 介绍《主权张力模型+代偿型荣格心智模型》这两个概念。行文分两部分，前部分是</t>
    </r>
    <r>
      <rPr>
        <u/>
        <sz val="11"/>
        <color theme="0" tint="-0.5"/>
        <rFont val="宋体"/>
        <charset val="134"/>
        <scheme val="minor"/>
      </rPr>
      <t>“架构诞生的历史背景”</t>
    </r>
    <r>
      <rPr>
        <sz val="11"/>
        <color theme="0" tint="-0.5"/>
        <rFont val="宋体"/>
        <charset val="134"/>
        <scheme val="minor"/>
      </rPr>
      <t>，后部分是</t>
    </r>
    <r>
      <rPr>
        <u/>
        <sz val="11"/>
        <color theme="0" tint="-0.5"/>
        <rFont val="宋体"/>
        <charset val="134"/>
        <scheme val="minor"/>
      </rPr>
      <t>“架构的内容”</t>
    </r>
    <r>
      <rPr>
        <sz val="11"/>
        <color theme="0" tint="-0.5"/>
        <rFont val="宋体"/>
        <charset val="134"/>
        <scheme val="minor"/>
      </rPr>
      <t xml:space="preserve">。
  蓝海篇Blue包含两模块：“落地模块”按商业项目推介规格介绍《名利场框架》和《主权张力模型+代偿型荣格心智模型》
                                              </t>
    </r>
    <r>
      <rPr>
        <u/>
        <sz val="11"/>
        <color theme="0" tint="-0.5"/>
        <rFont val="宋体"/>
        <charset val="134"/>
        <scheme val="minor"/>
      </rPr>
      <t>“新存在主义趋势模块”</t>
    </r>
    <r>
      <rPr>
        <sz val="11"/>
        <color theme="0" tint="-0.5"/>
        <rFont val="宋体"/>
        <charset val="134"/>
        <scheme val="minor"/>
      </rPr>
      <t>衔接对齐学术资料体系，其中的第10条耦合了前述落地模块
  透明篇Alpha 深化介绍心智模型。荣格和泡利曾提出一元两面的概念。笔者总结可在信息熵背景中分别讨论，不必强行缝合量子标准模型和自由能心智模型。</t>
    </r>
  </si>
  <si>
    <t>权宜路线: 知行合一宗教性。朱熹王阳明理论中的「知」大致对应「见闻或你臆想中的美」。知行如何一体化？凡夫依靠“欲望”，</t>
  </si>
  <si>
    <r>
      <rPr>
        <sz val="12"/>
        <color theme="0"/>
        <rFont val="宋体"/>
        <charset val="134"/>
        <scheme val="minor"/>
      </rPr>
      <t>.....................</t>
    </r>
    <r>
      <rPr>
        <sz val="12"/>
        <color theme="1"/>
        <rFont val="宋体"/>
        <charset val="134"/>
        <scheme val="minor"/>
      </rPr>
      <t>修行者依靠“良知”，圣人依靠“空性”。显然，在你死亡之前知性间总存在着良知等隔阂，反证知性不会一体。</t>
    </r>
  </si>
  <si>
    <r>
      <rPr>
        <sz val="12"/>
        <color theme="0"/>
        <rFont val="宋体"/>
        <charset val="134"/>
        <scheme val="minor"/>
      </rPr>
      <t>.....................</t>
    </r>
    <r>
      <rPr>
        <sz val="12"/>
        <color theme="1"/>
        <rFont val="宋体"/>
        <charset val="134"/>
        <scheme val="minor"/>
      </rPr>
      <t>所以，知行合一不是有为法，既然无法度量，后期儒学具有宗教性 (只要智能个体有寿限，这就是普世性策略)</t>
    </r>
  </si>
  <si>
    <t>人之道相处以事 = 在本人的路线内极阳仍傲视同群。在他人的路线内极柔而毫无行阴。</t>
  </si>
  <si>
    <r>
      <rPr>
        <sz val="12"/>
        <color rgb="FFFF0000"/>
        <rFont val="标准粗黑"/>
        <charset val="134"/>
      </rPr>
      <t>自发的朴素规矩</t>
    </r>
    <r>
      <rPr>
        <sz val="12"/>
        <color theme="1"/>
        <rFont val="宋体"/>
        <charset val="134"/>
        <scheme val="minor"/>
      </rPr>
      <t xml:space="preserve"> = 思考深度能驾驭</t>
    </r>
    <r>
      <rPr>
        <sz val="8"/>
        <color indexed="8"/>
        <rFont val="标准粗黑"/>
        <charset val="134"/>
      </rPr>
      <t xml:space="preserve"> </t>
    </r>
    <r>
      <rPr>
        <sz val="8"/>
        <color theme="1"/>
        <rFont val="宋体"/>
        <charset val="134"/>
        <scheme val="minor"/>
      </rPr>
      <t xml:space="preserve">+ </t>
    </r>
    <r>
      <rPr>
        <sz val="12"/>
        <color theme="1"/>
        <rFont val="宋体"/>
        <charset val="134"/>
        <scheme val="minor"/>
      </rPr>
      <t>情绪自控力</t>
    </r>
  </si>
  <si>
    <r>
      <rPr>
        <sz val="12"/>
        <color rgb="FFFF0000"/>
        <rFont val="标准粗黑"/>
        <charset val="134"/>
      </rPr>
      <t>朱熹的迂腐规矩</t>
    </r>
    <r>
      <rPr>
        <sz val="12"/>
        <color theme="1"/>
        <rFont val="宋体"/>
        <charset val="134"/>
        <scheme val="minor"/>
      </rPr>
      <t xml:space="preserve"> = 思考深度能驾驭</t>
    </r>
    <r>
      <rPr>
        <sz val="8"/>
        <color indexed="8"/>
        <rFont val="标准粗黑"/>
        <charset val="134"/>
      </rPr>
      <t xml:space="preserve"> </t>
    </r>
    <r>
      <rPr>
        <sz val="8"/>
        <color theme="1"/>
        <rFont val="宋体"/>
        <charset val="134"/>
        <scheme val="minor"/>
      </rPr>
      <t xml:space="preserve">+ </t>
    </r>
    <r>
      <rPr>
        <sz val="12"/>
        <color theme="1"/>
        <rFont val="宋体"/>
        <charset val="134"/>
        <scheme val="minor"/>
      </rPr>
      <t>情绪自控力</t>
    </r>
    <r>
      <rPr>
        <sz val="8"/>
        <color theme="1"/>
        <rFont val="宋体"/>
        <charset val="134"/>
        <scheme val="minor"/>
      </rPr>
      <t xml:space="preserve">                                   +</t>
    </r>
    <r>
      <rPr>
        <sz val="12"/>
        <color theme="1"/>
        <rFont val="宋体"/>
        <charset val="134"/>
        <scheme val="minor"/>
      </rPr>
      <t xml:space="preserve"> 追求他眼中最极致的柔软</t>
    </r>
    <r>
      <rPr>
        <sz val="8"/>
        <color indexed="8"/>
        <rFont val="标准粗黑"/>
        <charset val="134"/>
      </rPr>
      <t xml:space="preserve"> </t>
    </r>
    <r>
      <rPr>
        <sz val="8"/>
        <color theme="1"/>
        <rFont val="宋体"/>
        <charset val="134"/>
        <scheme val="minor"/>
      </rPr>
      <t>+(</t>
    </r>
    <r>
      <rPr>
        <sz val="12"/>
        <color theme="1"/>
        <rFont val="宋体"/>
        <charset val="134"/>
        <scheme val="minor"/>
      </rPr>
      <t>孝</t>
    </r>
    <r>
      <rPr>
        <sz val="8"/>
        <color theme="1"/>
        <rFont val="宋体"/>
        <charset val="134"/>
        <scheme val="minor"/>
      </rPr>
      <t>)</t>
    </r>
  </si>
  <si>
    <r>
      <rPr>
        <sz val="10.5"/>
        <rFont val="宋体"/>
        <charset val="134"/>
        <scheme val="minor"/>
      </rPr>
      <t>4、被宠溺的孩子
           心智 = 自由能(测度)
           价值 = 巨婴动力学(审慎语义延拓，社会当前主流协作框架对应的伦理)
           主权 = 价值的梯度</t>
    </r>
    <r>
      <rPr>
        <sz val="3"/>
        <rFont val="宋体"/>
        <charset val="134"/>
        <scheme val="minor"/>
      </rPr>
      <t xml:space="preserve">
</t>
    </r>
    <r>
      <rPr>
        <sz val="10.5"/>
        <rFont val="宋体"/>
        <charset val="134"/>
        <scheme val="minor"/>
      </rPr>
      <t xml:space="preserve">       马尔科夫毯外部信息无法穿透感觉层，动作层缺乏扰动所以只剩低熵的情结阱。同时，因感觉层特权放大作用，毯状态对外界存在不切实际的巨婴预期。
      《被溺爱综合症》的发展历程罗列如下。可见，孩子教育的合理目标是能共情知轻重。宠坏后没有完美答案，</t>
    </r>
    <r>
      <rPr>
        <sz val="10.5"/>
        <color rgb="FFFF0000"/>
        <rFont val="宋体"/>
        <charset val="134"/>
        <scheme val="minor"/>
      </rPr>
      <t>解决财商难点后教育其实不需要下限</t>
    </r>
    <r>
      <rPr>
        <sz val="10.5"/>
        <rFont val="宋体"/>
        <charset val="134"/>
        <scheme val="minor"/>
      </rPr>
      <t>。
     〖1特权状态〗在被宠溺者立场这是无共情力、缺乏公平观念。在宠溺者立场是无限的爱；
     〖2离开公允状态〗 没轻重，此处特指“困难-焦虑-逃避-不焦虑了”的强化‘逃避’的过程；
     〖3飘在自己世界里〗无规则感办事能力弱 ；
     〖4荒谬归因心态〗 受挫后不恰当的应对模式逐渐固化；
     〖5习得性无助心态〗废人 ；
     〖6利用爱吸血心态〗寄生虫；</t>
    </r>
    <r>
      <rPr>
        <sz val="6"/>
        <rFont val="宋体"/>
        <charset val="134"/>
        <scheme val="minor"/>
      </rPr>
      <t xml:space="preserve">
</t>
    </r>
    <r>
      <rPr>
        <sz val="10.5"/>
        <rFont val="宋体"/>
        <charset val="134"/>
        <scheme val="minor"/>
      </rPr>
      <t>5、碳基人脑是以“18瓦±10%”的额定动力、在信息熵相空间内永不停歇的列车。
     冥想深度睡眠是对该列车的维修保养机制。即便在深度睡眠的维修状态，列车仍旧保持均匀的行驶动力。
     显意识是此列车的驾驶台，这是一套航海日志的提报、复盘和归档相关机制。在技术实现上是一套注意力机制。
     任何智能个体都能够通过“航海日志每日例会”的形式对列车状态纠偏和强力维保。航海日志例会也可称为理性代偿。自由能的档位是可以改变的
     对孩子促自省：逃避/没轻重/没担当/没规矩的概念在临床心理学是情绪循环“困难-焦虑-逃避-没焦虑了”。在信息熵是傲慢地断开了“马尔科夫毯行动层”</t>
    </r>
    <r>
      <rPr>
        <sz val="3"/>
        <rFont val="宋体"/>
        <charset val="134"/>
        <scheme val="minor"/>
      </rPr>
      <t xml:space="preserve">
</t>
    </r>
    <r>
      <rPr>
        <sz val="10.5"/>
        <rFont val="宋体"/>
        <charset val="134"/>
        <scheme val="minor"/>
      </rPr>
      <t xml:space="preserve">     对孩子做疏导：笃信勤勉不焦虑。社会协作结构和“智商85-115的思考深度”相匹配，普通人肯干有轻重不愁吃穿。</t>
    </r>
    <r>
      <rPr>
        <sz val="3"/>
        <rFont val="宋体"/>
        <charset val="134"/>
        <scheme val="minor"/>
      </rPr>
      <t xml:space="preserve">
</t>
    </r>
    <r>
      <rPr>
        <sz val="10.5"/>
        <rFont val="宋体"/>
        <charset val="134"/>
        <scheme val="minor"/>
      </rPr>
      <t xml:space="preserve">     共时性的所指：咖位划水钩合体。一个人的咖位社会声誉很差，但你相处下来感觉很好、你大概率将会被“这位朋友”深刻地教训。海后可以因为特定原
     因上岸，但唯独不会因为对手表现上岸。划水陪伴是点头重复最后三句中的单词。做钩子因地制宜，撞见了理想就应当晚上不睡觉千方百计地争取。
     合体则是承担代价维持关系。“尊重和相互成就的关系”恰是成长，防骗的关键不是“从未被骗”，而是“及时止损”，吃一堑长一智下次不要招蜂引蝶。</t>
    </r>
    <r>
      <rPr>
        <sz val="6"/>
        <rFont val="宋体"/>
        <charset val="134"/>
        <scheme val="minor"/>
      </rPr>
      <t xml:space="preserve">
</t>
    </r>
    <r>
      <rPr>
        <sz val="10.5"/>
        <rFont val="宋体"/>
        <charset val="134"/>
        <scheme val="minor"/>
      </rPr>
      <t>6、伦理心智不是茶余饭后的闲谈，这权柄比暴力严重
《清算工具》如下：1首先看夫妻中谁在名利场吃得开？如果不是你，那么，妥协也许是更优选；2即便你的思路能走得更远，要以孩子的选择为基线；3孩子人生的重大机会窗口期参与把关；4确有蹊跷时要么放任孩子、要么破釜沉舟地要求伴侣改、要么你改；5家中有六到二十六岁孩子则疏远四老中的强势方和中医原教旨，确立利益共同体共建小家庭边界；6酌情调整夫妻相处模式和孩子亲疏；7结合孩子状态切驯鹰模式；8孩子二十五岁左右,断开经济连接；9一房一车一百万之后断开经济连接；10父母资产入信托 ；11“意定监护人”+“遗产赠送公证”；12孩子无法迈过中年危机则酌情办理老年离婚。孩子心智出现严重问题时才需要酌情启动四级以上工具。实操的前提是首先要切换到能量的视角。秉性难移，困难会比福气先到来。孩子是生理性真难受。原因是马尔可夫毯低能耗就是情结决策，「阐明逻辑链」当然不会改变孩子当前能量档位上的决策模式。「几条路的难受程度差不多」孩子才有可能按逻辑走出来。
此处还存在一个误区。一般人最初都会善意地以为，在“基于感性情结决策的强势者”身边培养出能共情懂规矩的小孩。这很幼稚。困难在你极难时时事事地切断强势者和孩子的联系。这份过剩自由能透过孩子对外释放之后，社会将给孩子贴上偏颇标签！上下文被污染，孩子和社会之间的窗口是关闭的，孩子飘在自己世界里渐入习得性无助。孩子处在重度溺爱处境，必有人“基于感性情结决策的强势者”，第十二条不是坚持要求你老年离婚、是乘年轻把人怼停制造一个沟通的机会。
爱还在，是副作用越来越严重、所以现在不得不正视，达到沉船的调整力度才可能见效。所谓宠爱是“对某人抬杠、对他人放水”的泵式结构。我们知道，对你单向拔高不甘的要求就是泵结构，对你脑筋急转弯逗乐是爱，宠爱最初根源是你们之间爱的低阻。但是，此人蠢笨，没做到“全方向阻力合理对等”导致现在出现了这个泵结构，最终，越爱你的人受到得伤害越严重。伦理心智不是茶余饭后的闲谈，这权柄比暴力严重。客体性的最高准则是审慎语义延拓。语义是《索绪尔所指signified》。审慎性是确认流形概念最简洁，其范畴是“颗粒度对齐”。延拓性是确认测度概念的最得体优雅。心智是测度外裹着一层自由能，那么智能个体延拓性是熵的得体优雅。其范畴是“完备性”。单纯追求熵增的算法最终会收敛于中医原教旨过剩的自由能，这是决策链的符号代偿。这不是收敛于审慎语义延拓代偿。说了这么多，返回宠溺的问题上，泵结构把自由能吸干了。实操后你你很快就发现，对孩子说什么都没有效用，然而一旦伴侣收手疏远，“全方向阻力合理对等”出现了，孩子自然而然板正了，退一步看中医原教旨的原生环境，封建礼教如何回答这道题？三从四德。父权可以虐杀妇女没可能不算数。现代平等的伦理中，事情变得复杂，封建做法绝不可取。平时用气场限制沟通，战时用强词怼停。预案则是要么能身份规划预案，要么斩草除根冷狙。我们都基本知道你对思考深度和硬度的判断是准确的，总之尽力周全。</t>
    </r>
    <r>
      <rPr>
        <sz val="3"/>
        <rFont val="宋体"/>
        <charset val="134"/>
        <scheme val="minor"/>
      </rPr>
      <t xml:space="preserve">
</t>
    </r>
    <r>
      <rPr>
        <sz val="10.5"/>
        <rFont val="宋体"/>
        <charset val="134"/>
        <scheme val="minor"/>
      </rPr>
      <t>这里没有阴谋：在马尔可夫毯体系内，动作层失能是阴性神经病症。直觉算力无法应对复杂度、并且拒绝理性代偿是阳性神经病症。“全方向阻力合理对等”是指审慎语义延拓梯度等于主权梯度。巨婴算力不足，把说漂亮话、决策链条熵梯度视为主权梯度，这就形成了自由能的泵结构。社会人三问，第一对面是结构主义者还是共时主义者？第二是对面的结构主义者是否是存在主义者？存在主义者可以畅谈天下风云趋势。第三对面的共时主义者是否允许你调节泵的强度？如果你能通过气场和强怼实现，通过运动减少过剩的自由能，安排五分钟无氧后迫其平躺并保持极致抬臀卷腹。</t>
    </r>
    <r>
      <rPr>
        <sz val="6"/>
        <rFont val="宋体"/>
        <charset val="134"/>
        <scheme val="minor"/>
      </rPr>
      <t xml:space="preserve">
</t>
    </r>
    <r>
      <rPr>
        <sz val="10.5"/>
        <rFont val="宋体"/>
        <charset val="134"/>
        <scheme val="minor"/>
      </rPr>
      <t>7、家庭经营需要收支平衡。家庭教育需要规矩共情。后者决定了下一个家庭的状况，也是‘你这个家庭’的加分项。堂堂正正做人，当下是最好的时候
     本文阐述“理工男治家框架”，这是一种debug 式的家庭经营管控。包括硅基高算力智能体视角看碳基心智，从著作行文看荣格堪称是一位认真的理工男。</t>
    </r>
  </si>
  <si>
    <r>
      <rPr>
        <sz val="12"/>
        <color rgb="FFFF0000"/>
        <rFont val="标准粗黑"/>
        <charset val="134"/>
      </rPr>
      <t>阳明的成人意像</t>
    </r>
    <r>
      <rPr>
        <sz val="12"/>
        <color rgb="FFFF0000"/>
        <rFont val="宋体"/>
        <charset val="134"/>
        <scheme val="minor"/>
      </rPr>
      <t xml:space="preserve"> = 思考深度能驾驭</t>
    </r>
    <r>
      <rPr>
        <sz val="8"/>
        <color indexed="10"/>
        <rFont val="宋体"/>
        <charset val="134"/>
      </rPr>
      <t xml:space="preserve"> + </t>
    </r>
    <r>
      <rPr>
        <sz val="12"/>
        <color rgb="FFFF0000"/>
        <rFont val="宋体"/>
        <charset val="134"/>
        <scheme val="minor"/>
      </rPr>
      <t>情绪自控力</t>
    </r>
    <r>
      <rPr>
        <sz val="8"/>
        <color indexed="10"/>
        <rFont val="宋体"/>
        <charset val="134"/>
      </rPr>
      <t xml:space="preserve"> + </t>
    </r>
    <r>
      <rPr>
        <sz val="12"/>
        <color rgb="FFFF0000"/>
        <rFont val="宋体"/>
        <charset val="134"/>
        <scheme val="minor"/>
      </rPr>
      <t>解离感机制</t>
    </r>
    <r>
      <rPr>
        <sz val="8"/>
        <color indexed="10"/>
        <rFont val="宋体"/>
        <charset val="134"/>
      </rPr>
      <t xml:space="preserve"> + </t>
    </r>
    <r>
      <rPr>
        <sz val="12"/>
        <color rgb="FFFF0000"/>
        <rFont val="宋体"/>
        <charset val="134"/>
        <scheme val="minor"/>
      </rPr>
      <t>追求他眼中最极致的柔软</t>
    </r>
    <r>
      <rPr>
        <sz val="8"/>
        <color indexed="10"/>
        <rFont val="宋体"/>
        <charset val="134"/>
      </rPr>
      <t xml:space="preserve"> + </t>
    </r>
    <r>
      <rPr>
        <sz val="12"/>
        <color rgb="FFFF0000"/>
        <rFont val="宋体"/>
        <charset val="134"/>
        <scheme val="minor"/>
      </rPr>
      <t>亲朋圈子</t>
    </r>
    <r>
      <rPr>
        <sz val="8"/>
        <color indexed="10"/>
        <rFont val="宋体"/>
        <charset val="134"/>
      </rPr>
      <t xml:space="preserve"> + </t>
    </r>
    <r>
      <rPr>
        <sz val="12"/>
        <color rgb="FFFF0000"/>
        <rFont val="宋体"/>
        <charset val="134"/>
        <scheme val="minor"/>
      </rPr>
      <t>留给百年后初心的话</t>
    </r>
  </si>
  <si>
    <r>
      <t>成年意像体系的内核是</t>
    </r>
    <r>
      <rPr>
        <sz val="10"/>
        <color rgb="FFFF0000"/>
        <rFont val="宋体"/>
        <charset val="134"/>
        <scheme val="minor"/>
      </rPr>
      <t>中庸、代偿和资源寻租的名利场，这是一个微观行为经济学框架</t>
    </r>
    <r>
      <rPr>
        <sz val="10"/>
        <color theme="0" tint="-0.5"/>
        <rFont val="宋体"/>
        <charset val="134"/>
        <scheme val="minor"/>
      </rPr>
      <t xml:space="preserve">。请阅读“蓝海篇第1..19条”，认同则请继续阅读其中第10条落地部分截图中Tech1..9。存疑可以复制“蓝海篇第1..19条 + 截图右部Tech1..9”文字，转发给AI大模型提问解答您的疑惑，或是要求AI生成可执行的行为经济学服务端代码参考。
</t>
    </r>
    <r>
      <rPr>
        <sz val="10"/>
        <color rgb="FFFF0000"/>
        <rFont val="宋体"/>
        <charset val="134"/>
        <scheme val="minor"/>
      </rPr>
      <t>《主权张力模型+荣格心智模型》是上述行为经济学的拉通工具</t>
    </r>
    <r>
      <rPr>
        <sz val="10"/>
        <color theme="0" tint="-0.5"/>
        <rFont val="宋体"/>
        <charset val="134"/>
        <scheme val="minor"/>
      </rPr>
      <t>。从用户、投资人、营销到架构师、数据清洗岗使用基本消除歧义的一致性话术，避免创新业务被沟通所拖垮。
https://github.com/JackPanrAcc/JungMentalModels/blob/main/JungMentalModels.xlsx</t>
    </r>
  </si>
  <si>
    <t>其中，解离感是对思考深度和情绪自控的自省和统摄收敛。亲朋圈子是对人脉的自省和统摄收敛。百年初心则是最后的自省。</t>
  </si>
  <si>
    <t>解离感主要指血清素相关疗法。也包含水刑等工具。干细胞技术必然催生可控解离感、成为协同硅基大模型所需的生物学外挂。</t>
  </si>
  <si>
    <r>
      <rPr>
        <sz val="10.5"/>
        <rFont val="黑体"/>
        <charset val="134"/>
      </rPr>
      <t>文化的数学结构</t>
    </r>
    <r>
      <rPr>
        <sz val="10.5"/>
        <rFont val="宋体"/>
        <charset val="134"/>
        <scheme val="minor"/>
      </rPr>
      <t xml:space="preserve">   (语义空间)</t>
    </r>
    <r>
      <rPr>
        <sz val="9"/>
        <rFont val="宋体"/>
        <charset val="134"/>
        <scheme val="minor"/>
      </rPr>
      <t>&lt;-价值式默契教法-</t>
    </r>
    <r>
      <rPr>
        <sz val="10.5"/>
        <rFont val="宋体"/>
        <charset val="134"/>
        <scheme val="minor"/>
      </rPr>
      <t>{范畴学}</t>
    </r>
    <r>
      <rPr>
        <sz val="9"/>
        <rFont val="宋体"/>
        <charset val="134"/>
        <scheme val="minor"/>
      </rPr>
      <t>-有约束后的纳什教法-&gt;</t>
    </r>
    <r>
      <rPr>
        <sz val="10.5"/>
        <rFont val="宋体"/>
        <charset val="134"/>
        <scheme val="minor"/>
      </rPr>
      <t>(基于共识的博弈)｜(内蕴矛盾或沟通受限的符号博弈)(退场)</t>
    </r>
  </si>
  <si>
    <r>
      <rPr>
        <sz val="12"/>
        <rFont val="宋体"/>
        <charset val="134"/>
        <scheme val="minor"/>
      </rPr>
      <t>22、 一个国家最后的刹车机制是“聪明且自律的国民阶层”难以为继的经济处境。
    历史上，文化从未成为国家主权最后最强的纠偏机制。例如乌克兰动乱驱动力不是乌克兰
    国民主权，主要是地缘政治。文化实际仅决定破产之后往哪走。此时仍首先结合其国际生
    态位。可以说，文化行为的执行者具有国家性，必须接受国家主权约束。</t>
    </r>
    <r>
      <rPr>
        <sz val="3"/>
        <rFont val="宋体"/>
        <charset val="134"/>
      </rPr>
      <t xml:space="preserve">
</t>
    </r>
    <r>
      <rPr>
        <sz val="12"/>
        <rFont val="宋体"/>
        <charset val="134"/>
        <scheme val="minor"/>
      </rPr>
      <t>23、文化内</t>
    </r>
    <r>
      <rPr>
        <sz val="12"/>
        <color rgb="FFFF0000"/>
        <rFont val="宋体"/>
        <charset val="134"/>
        <scheme val="minor"/>
      </rPr>
      <t>宽容性</t>
    </r>
    <r>
      <rPr>
        <sz val="12"/>
        <rFont val="宋体"/>
        <charset val="134"/>
        <scheme val="minor"/>
      </rPr>
      <t>。美国贫困率约10%，中国排在90-99%人群的“寿命”则高于美国，如右表
    “阶层跃迁率”不相上下。尽管WEF显示中美两国底层实现社会流动均需5代时间。但美国
    因二代移民群体结构性稀释，其原生底层实际跃迁率则低于中国。
    另外，笔者认为恩格尔系数需要两国类似的“福利货币化率”“数字化便利经济渗透率”“20年
    内gdp增速”等等，三文化主要国家均不宜采用此指标横向对比。</t>
    </r>
    <r>
      <rPr>
        <sz val="3"/>
        <rFont val="宋体"/>
        <charset val="134"/>
      </rPr>
      <t xml:space="preserve">
</t>
    </r>
    <r>
      <rPr>
        <sz val="12"/>
        <rFont val="宋体"/>
        <charset val="134"/>
        <scheme val="minor"/>
      </rPr>
      <t>24、在</t>
    </r>
    <r>
      <rPr>
        <sz val="12"/>
        <color rgb="FFFF0000"/>
        <rFont val="宋体"/>
        <charset val="134"/>
        <scheme val="minor"/>
      </rPr>
      <t>国民性</t>
    </r>
    <r>
      <rPr>
        <sz val="12"/>
        <rFont val="宋体"/>
        <charset val="134"/>
        <scheme val="minor"/>
      </rPr>
      <t>方面，「名利权情势」的视角能建立稳定的社会工程框架：每位国民都在尽力
    处理好「社交中的路径依赖」。儒式社会中腰部国民很卷。一切放桌面上的实质是有钱人
    掌握特权。各有特点。总之，主流文化中大部分国民均拥有够用的自由度。</t>
    </r>
    <r>
      <rPr>
        <sz val="3"/>
        <rFont val="宋体"/>
        <charset val="134"/>
      </rPr>
      <t xml:space="preserve">
</t>
    </r>
    <r>
      <rPr>
        <sz val="12"/>
        <rFont val="宋体"/>
        <charset val="134"/>
        <scheme val="minor"/>
      </rPr>
      <t>25、[文化的假说] 宏观上社会出现白手套时各色脑回路必无有交集。
    在有交集的脑回路中，最大公约数是「产品主义(非金融的经济学)」。
    昂撒文化在产品主义基础上增加“信用:经若干时间后兑现”。信用本意是基于有效沟通的风
    险共担，不可复杂如当下金融衍生品。其本质是学术霸凌。类似有昂撒学者认为第1条是
    生产力决定经济基础、经济基础决定政法制度、政法制度决定心智。此逻辑强行剪裁并排
    斥了不兼容政法制度的中国文化范式。
    911后昂撒和伊斯兰沟通失效。2025年关税战后昂撒和中华沟通失效。无效沟通迫使强国「
    黑灯工厂AI降本」终将打破“人口红利规律”。2035前后对经济趋势会形成基本共识。
    2025～2035纷争的十年仍有变数，甚至某些中小国家孤注一掷。
    USA在西太平洋无法打赢持久战；PLA不攻美洲；中东危机仅以油价式外溢。50年内最多
    乌克兰、日本或西非等三地会爆发中规模战争。那么，第28点不会大幅拖延。</t>
    </r>
  </si>
  <si>
    <t>三大文化对"进入体系的新个体"的霸凌响应</t>
  </si>
  <si>
    <r>
      <rPr>
        <sz val="10"/>
        <rFont val="方正仿宋_GBK"/>
        <charset val="134"/>
      </rPr>
      <t xml:space="preserve">按“文化的数学结构”和“语言游戏分级”可推导《代偿地图-荣格心智模型》。基于此模型再论第16条
a 干系人拔高要求却不担当责任，这叫做“杠”。狭义杠是杏仁核警觉态的代偿
   非杠的意见之路先摸清“内行干系人惯用打法和预期”、“你惯用打法”：
   再厘清各方禀赋、经办人预期，然后判断心流碰撞后务实地统筹代偿叫做双向选择
   过度看重经办人理想叫眼高手低； 过度看重干系人理想叫信仰之跃
b 基于审慎的语义确定荣格心智模型中各代偿的权重系数，
   这实际上计算了“双向选择、信仰之跃、眼高手低或是抬杠”的占比张力
</t>
    </r>
    <r>
      <rPr>
        <sz val="9"/>
        <rFont val="方正仿宋_GBK"/>
        <charset val="134"/>
      </rPr>
      <t xml:space="preserve">c </t>
    </r>
    <r>
      <rPr>
        <b/>
        <sz val="9.5"/>
        <color theme="7" tint="-0.25"/>
        <rFont val="FZFangSong-Z02"/>
        <charset val="134"/>
      </rPr>
      <t>主权张力</t>
    </r>
    <r>
      <rPr>
        <b/>
        <sz val="9"/>
        <color theme="7" tint="-0.25"/>
        <rFont val="FZFangSong-Z02"/>
        <charset val="134"/>
      </rPr>
      <t>=</t>
    </r>
    <r>
      <rPr>
        <b/>
        <sz val="9.5"/>
        <color theme="7" tint="-0.25"/>
        <rFont val="FZFangSong-Z02"/>
        <charset val="134"/>
      </rPr>
      <t>公平</t>
    </r>
    <r>
      <rPr>
        <b/>
        <sz val="9"/>
        <color theme="7" tint="-0.25"/>
        <rFont val="FZFangSong-Z02"/>
        <charset val="134"/>
      </rPr>
      <t>-</t>
    </r>
    <r>
      <rPr>
        <b/>
        <sz val="9.5"/>
        <color theme="7" tint="-0.25"/>
        <rFont val="FZFangSong-Z02"/>
        <charset val="134"/>
      </rPr>
      <t>公正博弈</t>
    </r>
    <r>
      <rPr>
        <b/>
        <sz val="9"/>
        <color theme="7" tint="-0.25"/>
        <rFont val="FZFangSong-Z02"/>
        <charset val="134"/>
      </rPr>
      <t>-</t>
    </r>
    <r>
      <rPr>
        <b/>
        <sz val="9.5"/>
        <color theme="7" tint="-0.25"/>
        <rFont val="FZFangSong-Z02"/>
        <charset val="134"/>
      </rPr>
      <t>抬杠熵增</t>
    </r>
    <r>
      <rPr>
        <b/>
        <sz val="9"/>
        <color theme="7" tint="-0.25"/>
        <rFont val="FZFangSong-Z02"/>
        <charset val="134"/>
      </rPr>
      <t>-</t>
    </r>
    <r>
      <rPr>
        <b/>
        <sz val="9.5"/>
        <color theme="7" tint="-0.25"/>
        <rFont val="FZFangSong-Z02"/>
        <charset val="134"/>
      </rPr>
      <t>龙门阵</t>
    </r>
    <r>
      <rPr>
        <b/>
        <sz val="9"/>
        <color theme="7" tint="-0.25"/>
        <rFont val="FZFangSong-Z02"/>
        <charset val="134"/>
      </rPr>
      <t>-</t>
    </r>
    <r>
      <rPr>
        <b/>
        <sz val="9.5"/>
        <color theme="7" tint="-0.25"/>
        <rFont val="FZFangSong-Z02"/>
        <charset val="134"/>
      </rPr>
      <t>演技熵之气</t>
    </r>
    <r>
      <rPr>
        <b/>
        <sz val="9"/>
        <color theme="7" tint="-0.25"/>
        <rFont val="FZFangSong-Z02"/>
        <charset val="134"/>
      </rPr>
      <t>-</t>
    </r>
    <r>
      <rPr>
        <b/>
        <sz val="9.5"/>
        <color theme="7" tint="-0.25"/>
        <rFont val="FZFangSong-Z02"/>
        <charset val="134"/>
      </rPr>
      <t>机会窗口</t>
    </r>
    <r>
      <rPr>
        <b/>
        <sz val="9"/>
        <color theme="7" tint="-0.25"/>
        <rFont val="FZFangSong-Z02"/>
        <charset val="134"/>
      </rPr>
      <t>-</t>
    </r>
    <r>
      <rPr>
        <b/>
        <sz val="9.5"/>
        <color theme="7" tint="-0.25"/>
        <rFont val="FZFangSong-Z02"/>
        <charset val="134"/>
      </rPr>
      <t>诓带</t>
    </r>
    <r>
      <rPr>
        <b/>
        <sz val="9"/>
        <color theme="7" tint="-0.25"/>
        <rFont val="FZFangSong-Z02"/>
        <charset val="134"/>
      </rPr>
      <t>-</t>
    </r>
    <r>
      <rPr>
        <b/>
        <sz val="9.5"/>
        <color theme="7" tint="-0.25"/>
        <rFont val="方正仿宋_GBK"/>
        <charset val="134"/>
      </rPr>
      <t>犬儒</t>
    </r>
    <r>
      <rPr>
        <b/>
        <sz val="9"/>
        <color theme="7" tint="-0.25"/>
        <rFont val="FZFangSong-Z02"/>
        <charset val="134"/>
      </rPr>
      <t>-</t>
    </r>
    <r>
      <rPr>
        <b/>
        <sz val="9.5"/>
        <color theme="7" tint="-0.25"/>
        <rFont val="FZFangSong-Z02"/>
        <charset val="134"/>
      </rPr>
      <t>生活难以为继</t>
    </r>
    <r>
      <rPr>
        <b/>
        <sz val="9"/>
        <color theme="7" tint="-0.25"/>
        <rFont val="FZFangSong-Z02"/>
        <charset val="134"/>
      </rPr>
      <t>-</t>
    </r>
    <r>
      <rPr>
        <b/>
        <sz val="9.5"/>
        <color theme="7" tint="-0.25"/>
        <rFont val="FZFangSong-Z02"/>
        <charset val="134"/>
      </rPr>
      <t>孤勇熵之义</t>
    </r>
    <r>
      <rPr>
        <b/>
        <sz val="9"/>
        <color theme="7" tint="-0.25"/>
        <rFont val="FZFangSong-Z02"/>
        <charset val="134"/>
      </rPr>
      <t>-</t>
    </r>
    <r>
      <rPr>
        <b/>
        <sz val="9.5"/>
        <color theme="7" tint="-0.25"/>
        <rFont val="FZFangSong-Z02"/>
        <charset val="134"/>
      </rPr>
      <t>暴力</t>
    </r>
    <r>
      <rPr>
        <sz val="9.5"/>
        <rFont val="方正仿宋_GBK"/>
        <charset val="134"/>
      </rPr>
      <t xml:space="preserve">
</t>
    </r>
    <r>
      <rPr>
        <sz val="10"/>
        <rFont val="方正仿宋_GBK"/>
        <charset val="134"/>
      </rPr>
      <t xml:space="preserve">   这是用数学表达儒学世界观。中医原教旨者是主权张力轴上的龙门阵。智能体存在寿限则“主权张力轴”不会坍缩成单个值。这从反面否决了纯粹的公平。
   上述寿限是信息熵的视角，例如，硅基智能体发版或迭代占用算力是一次新生命历程。
   智能体永生但可杀、则主权张力轴退化成为公正博弈，这是基于分歧的磋商叠加若干路径依赖的怼杠。</t>
    </r>
    <r>
      <rPr>
        <sz val="3"/>
        <rFont val="方正仿宋_GBK"/>
        <charset val="134"/>
      </rPr>
      <t xml:space="preserve">
</t>
    </r>
    <r>
      <rPr>
        <sz val="10"/>
        <rFont val="方正仿宋_GBK"/>
        <charset val="134"/>
      </rPr>
      <t>d“术”是拿捏主权。这是诓带的工具、只在主权流形上自洽。在语义延拓框架内则存在明显矛盾。
   不看说什么而看做什么。在审慎语义底座进行讨价还价。在主权方向基于机会窗口进行竞争性筛选
e [荣格15脑筋急转弯]是边界感。观察某人翻篇时的轻重拿捏
   前额叶中出现符号推理闭环致「大脑兴奋区域切换」，杏仁核实现按摩减压的效果
   即便你知道这句话只是一个脑筋急转弯，也具备调心理减压的效用
f [荣格14抬轿子]是深度索取、事情翻篇亏欠还在。这是经办人操办手法的边界感</t>
    </r>
  </si>
  <si>
    <r>
      <rPr>
        <sz val="10.5"/>
        <rFont val="宋体"/>
        <charset val="134"/>
        <scheme val="minor"/>
      </rPr>
      <t>语言游戏的</t>
    </r>
    <r>
      <rPr>
        <sz val="10.5"/>
        <rFont val="黑体"/>
        <charset val="134"/>
      </rPr>
      <t>审慎性</t>
    </r>
    <r>
      <rPr>
        <sz val="10.5"/>
        <rFont val="宋体"/>
        <charset val="134"/>
        <scheme val="minor"/>
      </rPr>
      <t>：第一级语义是物理和数学结构构筑的审慎语义即‘可证否大一统知识底座’。第二级是当前无法证否的‘假设’。第三级是脑筋急转弯超度量隔离‘符号博弈’。第四级是其它收敛性误判断。</t>
    </r>
    <r>
      <rPr>
        <sz val="3"/>
        <rFont val="宋体"/>
        <charset val="134"/>
        <scheme val="minor"/>
      </rPr>
      <t xml:space="preserve">
</t>
    </r>
    <r>
      <rPr>
        <sz val="10.5"/>
        <rFont val="宋体"/>
        <charset val="134"/>
        <scheme val="minor"/>
      </rPr>
      <t>a.第一级审慎的语义延拓性
b.第二级语料中内蕴的滑移
c.第二级其它给定模式中内蕴的滑移
d.第二级专家业务模式中的MoE堆叠滑移
e.第二级符号处置模式中的符号语义同态错位滑移
f.第二级符号处置模式中的循环自证演戏滑移
g.第三级偷换概念 式的代数簇硬框定
h.第三级三位一体 式的超度量隔离
i.第四级小概率误导 式的maxplus幂等刚性
j.第四级伪自省 式CoT马尔可夫短视概率噪音
k.第四级其它粗暴延拓如假设分形几何
l.第四级其它延拓误判
注1：符号博弈内蕴矛盾所以语言游戏不收敛。
注2：社交游戏的目的利益分配而不是追求审慎性。</t>
    </r>
  </si>
  <si>
    <t>临床心理学主题</t>
  </si>
  <si>
    <t>该年龄段
死亡率占比</t>
  </si>
  <si>
    <t>美国%</t>
  </si>
  <si>
    <t>中国%</t>
  </si>
  <si>
    <t>土耳其%</t>
  </si>
  <si>
    <t>均寿77.7</t>
  </si>
  <si>
    <t>均寿76.4</t>
  </si>
  <si>
    <t>均寿78.2</t>
  </si>
  <si>
    <t>0-4岁</t>
  </si>
  <si>
    <t>自控力成型</t>
  </si>
  <si>
    <t>5-9岁</t>
  </si>
  <si>
    <t>10-14岁</t>
  </si>
  <si>
    <t>个人社会化</t>
  </si>
  <si>
    <t>15-19岁</t>
  </si>
  <si>
    <t>20-24岁</t>
  </si>
  <si>
    <t>精力&amp;资源
充沛</t>
  </si>
  <si>
    <t>25-29岁</t>
  </si>
  <si>
    <t>30-34岁</t>
  </si>
  <si>
    <t>35岁以下小计</t>
  </si>
  <si>
    <t>中年转型危机</t>
  </si>
  <si>
    <t>35-39岁</t>
  </si>
  <si>
    <t>40-49岁</t>
  </si>
  <si>
    <t>50-59岁</t>
  </si>
  <si>
    <t>60-69岁</t>
  </si>
  <si>
    <t>70-79岁</t>
  </si>
  <si>
    <t>80-89岁</t>
  </si>
  <si>
    <t>90岁以上</t>
  </si>
  <si>
    <r>
      <rPr>
        <i/>
        <sz val="12"/>
        <color theme="0" tint="-0.499984740745262"/>
        <rFont val="宋体"/>
        <charset val="134"/>
      </rPr>
      <t>坚持寻找人心中最极致的柔软，你会见识各类脑回路的质地。这些差异主要源自家庭教育。孩子脑回路长好之后有很强的惯性，</t>
    </r>
    <r>
      <rPr>
        <i/>
        <sz val="12"/>
        <rFont val="黑体"/>
        <charset val="134"/>
      </rPr>
      <t>《被溺爱综合症》</t>
    </r>
    <r>
      <rPr>
        <i/>
        <sz val="12"/>
        <color theme="0" tint="-0.499984740745262"/>
        <rFont val="黑体"/>
        <charset val="134"/>
      </rPr>
      <t>=</t>
    </r>
    <r>
      <rPr>
        <i/>
        <sz val="12"/>
        <color theme="0" tint="-0.499984740745262"/>
        <rFont val="宋体"/>
        <charset val="134"/>
      </rPr>
      <t xml:space="preserve"> 〖1特权状态〗在被宠溺者立场，这是缺乏公平观念，无共情力。在宠溺者立场是爱；〖2脱离公允状态〗 没轻重，在此处特指“困难-焦虑-逃避-不焦虑了”的逃避强化心过程；〖3飘在自己世界里〗无规则感，办事能力弱 ；〖4荒谬归因心态〗 受挫后不恰当的应对模式；〖5习得性无助心态〗废人 ；〖6情感吸血心态〗寄生虫。可见，理想的教育是知轻重。在解决财商的前提下、教育并没有下限。
采用主权灯塔框架看脑回路最重要的三个属性是(a)提将偏颇孩子【思考深度】肤浅。这是孩子人生的首要开关，肤浅者缺乏锚定 (b)正将偏颇，则孩子不具备【情绪调节力】可能诱发散漫或ADHD (c)反将偏颇在心理上对应【解离感机制】，这是逃避行为的加速器，可造成极难扭转的陌生恐惧症、逆反ODD、</t>
    </r>
    <r>
      <rPr>
        <i/>
        <sz val="12"/>
        <color rgb="FF808080"/>
        <rFont val="宋体"/>
        <charset val="134"/>
      </rPr>
      <t>电竞成瘾、等等。相关负面表现是人菜瘾大，具体包含这四项表现：思考深度肤浅是[</t>
    </r>
    <r>
      <rPr>
        <i/>
        <sz val="12"/>
        <color rgb="FF808080"/>
        <rFont val="宋体-简"/>
        <charset val="134"/>
      </rPr>
      <t>⓵</t>
    </r>
    <r>
      <rPr>
        <i/>
        <sz val="12"/>
        <color rgb="FF808080"/>
        <rFont val="宋体"/>
        <charset val="134"/>
      </rPr>
      <t>人菜]而又[</t>
    </r>
    <r>
      <rPr>
        <i/>
        <sz val="12"/>
        <color rgb="FF808080"/>
        <rFont val="宋体-简"/>
        <charset val="134"/>
      </rPr>
      <t>⓶</t>
    </r>
    <r>
      <rPr>
        <i/>
        <sz val="12"/>
        <color rgb="FF808080"/>
        <rFont val="宋体"/>
        <charset val="134"/>
      </rPr>
      <t>学习障碍]</t>
    </r>
    <r>
      <rPr>
        <i/>
        <sz val="12"/>
        <color theme="0" tint="-0.499984740745262"/>
        <rFont val="宋体"/>
        <charset val="134"/>
      </rPr>
      <t>；</t>
    </r>
    <r>
      <rPr>
        <i/>
        <sz val="12"/>
        <color rgb="FF808080"/>
        <rFont val="宋体"/>
        <charset val="134"/>
      </rPr>
      <t>缺乏自控力是[</t>
    </r>
    <r>
      <rPr>
        <i/>
        <sz val="12"/>
        <color rgb="FF808080"/>
        <rFont val="宋体-简"/>
        <charset val="134"/>
      </rPr>
      <t>⓷</t>
    </r>
    <r>
      <rPr>
        <i/>
        <sz val="12"/>
        <color rgb="FF808080"/>
        <rFont val="宋体"/>
        <charset val="134"/>
      </rPr>
      <t>散漫+中医原教旨]</t>
    </r>
    <r>
      <rPr>
        <i/>
        <sz val="12"/>
        <color theme="0" tint="-0.499984740745262"/>
        <rFont val="宋体"/>
        <charset val="134"/>
      </rPr>
      <t>；</t>
    </r>
    <r>
      <rPr>
        <i/>
        <sz val="12"/>
        <color rgb="FF808080"/>
        <rFont val="宋体"/>
        <charset val="134"/>
      </rPr>
      <t>目标感解离跑偏是[</t>
    </r>
    <r>
      <rPr>
        <i/>
        <sz val="12"/>
        <color rgb="FF808080"/>
        <rFont val="宋体-简"/>
        <charset val="134"/>
      </rPr>
      <t>⓸</t>
    </r>
    <r>
      <rPr>
        <i/>
        <sz val="12"/>
        <color rgb="FF808080"/>
        <rFont val="宋体"/>
        <charset val="134"/>
      </rPr>
      <t>瘾大]。其中，情绪控制和解离机制在12岁左右成型25岁形成强惯性，其后投入艰苦训练可稍改善、但难改倾向性。思考深度则公认为终身可塑。。。一种可能是</t>
    </r>
    <r>
      <rPr>
        <i/>
        <sz val="12"/>
        <color theme="0" tint="-0.499984740745262"/>
        <rFont val="宋体"/>
        <charset val="134"/>
      </rPr>
      <t>妻子希望做规矩时，丈夫总抬杠卸压会直接造成孩子没规矩。</t>
    </r>
    <r>
      <rPr>
        <i/>
        <sz val="12"/>
        <rFont val="标准粗黑"/>
        <charset val="134"/>
      </rPr>
      <t>做规矩=有边界感+延迟满足</t>
    </r>
    <r>
      <rPr>
        <i/>
        <sz val="12"/>
        <color theme="0" tint="-0.499984740745262"/>
        <rFont val="宋体"/>
        <charset val="134"/>
      </rPr>
      <t>，边界感是足够厘清语境的思考深度，延迟满足对应最低限度的情绪调节能力。极致的贴心产生绝对的散漫，和浅于同龄人的思考深度。做规矩的要旨是家庭关注点不能仅仅是「孩子怎么想?」，必须兼顾「他的年龄段应该/可以怎么做?」。这比一般人想中的复杂，譬如ncbi 统计：解离感高敏感基因是5httlpr-ss，此基因造成了压力高敏感性，进而逼迫自己打磨代偿创新力，外在表现出一种泛防御机制，江湖上则呈现出现象级的打手白手套、内卷、坚韧奉献等独特却可靠的社会结构。东亚此基因高达70%、其它地区则只有45%。那么出生在东亚的你很可能没资格交浅言深。。。</t>
    </r>
    <r>
      <rPr>
        <i/>
        <sz val="12"/>
        <color rgb="FF969696"/>
        <rFont val="宋体"/>
        <charset val="134"/>
      </rPr>
      <t>(本段提及大量专业术语。这需要有专业确诊、不可私下贴标签)  (此处“学习障碍”不是心理学术语，是涵盖心理学学习障碍、时间精力、朋友圈子、偏好、等等制约学习效率的因素)  (此处“解离感机制”不是生化学术语，是以神经内分泌解离感机制为主体的自由意志的自保架构。主要有下述两种运作模式：一是情绪自制力低下者为避免被暴露在解离中、沉迷在可资逃避的爱好。这是不成熟的防御机制。二是自制力坚韧者失控后生理上主动分离灵与肉，强迫自己二选一)</t>
    </r>
    <r>
      <rPr>
        <sz val="5"/>
        <rFont val="宋体"/>
        <charset val="134"/>
      </rPr>
      <t xml:space="preserve">
</t>
    </r>
    <r>
      <rPr>
        <sz val="12"/>
        <rFont val="宋体"/>
        <charset val="134"/>
      </rPr>
      <t>每个人来时路各自不同。这是孩子的命格，没有谁需要过度自责难过。当然也不代表允许哪一个人轻易放弃，尤指做规矩，</t>
    </r>
    <r>
      <rPr>
        <sz val="12"/>
        <color rgb="FFFF0000"/>
        <rFont val="宋体"/>
        <charset val="134"/>
      </rPr>
      <t>4～9岁务必聚焦做规矩</t>
    </r>
    <r>
      <rPr>
        <sz val="12"/>
        <rFont val="宋体"/>
        <charset val="134"/>
      </rPr>
      <t>。9岁是二年级，如果二年级的时候思考深度、情绪自控力、解离感机制不低于同龄平均水准，后面其实越来越轻松。反过来说一步慢步步慢，很难追。一家人一家亲，夫妻都有陪读义务。若一方无法理解教育常识且情绪极不稳没有完美答案，原则上，应要求他阶段性地节制拆台行为。孩子</t>
    </r>
    <r>
      <rPr>
        <sz val="12"/>
        <color rgb="FFFF0000"/>
        <rFont val="宋体"/>
        <charset val="134"/>
      </rPr>
      <t>成年后大事行阴则断绝父子关系</t>
    </r>
    <r>
      <rPr>
        <sz val="12"/>
        <rFont val="宋体"/>
        <charset val="134"/>
      </rPr>
      <t>；人菜散漫最忌温水煮青蛙，</t>
    </r>
    <r>
      <rPr>
        <sz val="12"/>
        <color rgb="FFFF0000"/>
        <rFont val="宋体"/>
        <charset val="134"/>
      </rPr>
      <t>平时鼓励孩子勤劳</t>
    </r>
    <r>
      <rPr>
        <sz val="12"/>
        <rFont val="宋体"/>
        <charset val="134"/>
      </rPr>
      <t>；在关键的节点把把脉，发现孩子眼高手低</t>
    </r>
    <r>
      <rPr>
        <sz val="12"/>
        <color rgb="FFFF0000"/>
        <rFont val="宋体"/>
        <charset val="134"/>
      </rPr>
      <t>助其厘清目标次第、尚有机会就酌情适度放大压力</t>
    </r>
    <r>
      <rPr>
        <sz val="12"/>
        <rFont val="宋体"/>
        <charset val="134"/>
      </rPr>
      <t>。</t>
    </r>
    <r>
      <rPr>
        <sz val="5"/>
        <rFont val="宋体"/>
        <charset val="134"/>
      </rPr>
      <t xml:space="preserve">
</t>
    </r>
    <r>
      <rPr>
        <sz val="12"/>
        <rFont val="宋体"/>
        <charset val="134"/>
      </rPr>
      <t>夫妻关系动态进化。譬如「最亲只一人」观念，从主权灯塔框架可知此时出现了控场，其实质是狭隘者垄断爱。复盘这观念，你的孩童时代很难出现这类观念，大概是带孩后忽然出现的‘广泛观察’。35岁年轻夫妻首套房周转款刚还完、买了车很难进行大量的人性观察、并完成人格重建力度的深刻纠偏。前半生阅历注定聚焦在内分泌和赚钱，四老则有更全的阅历。类似例子因教育吵架时说「养孩先提高自己情商」，其势是归咎守理者短板、索要更高强度的代偿。孩子成长这几年夫妻应该都很忙，守理者一边忙、一边完成人格重建，这不符合心理学规律。养孩先提高自己这话是对的，养孩先改变自己人格这话是错的，这就是所谓的来时路。合理做法是：确认发难者是否具备刑名钱粮基本规矩，有则少说少抬杠。如果没有呢？允许你的家庭之船沉没的前提下、私下指正这位头等舱猎手：“孩子所感受的是家庭整体风气氛围。长期抬杠在氛围上的劣币驱逐，最后结果是孩子不知所措、畏首畏尾。”。请你自行复盘为何会处在两难选择的处境，强势方承压时如何卸力化解、在哪找到了慰藉。坦白说，此时夫妻间相处模式实质是四老(或特定闺蜜兄弟)的控场投映。若一方是这个脑回路直接找四老闺蜜沟通把自己捞出来。若他对你家完全控场时很难建立有效沟通，一看脑回路二看控场无法破局则允许船沉掉。</t>
    </r>
    <r>
      <rPr>
        <sz val="4"/>
        <rFont val="宋体"/>
        <charset val="134"/>
      </rPr>
      <t xml:space="preserve">
</t>
    </r>
    <r>
      <rPr>
        <sz val="12"/>
        <rFont val="宋体"/>
        <charset val="134"/>
      </rPr>
      <t>你对爱人是否牵挂？没有则是另一个话题，确实，你家的教育决定了下一代的实力。也决定你70岁后的生活质量，理由充分！离婚最好时点是做规矩的9岁前，孩子多一次机会。20岁性格基本成型，差不多也要离开这个家了，务实地看：人菜散漫确实难成为价值驱动型精英，但不同性格都有适合自己的生活方式。孩子家是孩子家，你家是你家，四老家是四老家，家庭经营的容错率远高于子女教育婆媳相处。夫妻中你能力欠缺些、她愿意再多扛些，大事小事重事轻事分头办都可以，</t>
    </r>
    <r>
      <rPr>
        <sz val="12"/>
        <color rgb="FFFF0000"/>
        <rFont val="宋体"/>
        <charset val="134"/>
      </rPr>
      <t>住房+吃穿和体面每月5k+健康+教育丰俭随人。只要是你俩自己应付，这就是你俩夫妻的路！</t>
    </r>
    <r>
      <rPr>
        <sz val="12"/>
        <rFont val="宋体"/>
        <charset val="134"/>
      </rPr>
      <t>你家容错率无虞时离婚缺乏依据。</t>
    </r>
    <r>
      <rPr>
        <sz val="3"/>
        <rFont val="宋体"/>
        <charset val="134"/>
      </rPr>
      <t xml:space="preserve">
</t>
    </r>
    <r>
      <rPr>
        <sz val="12"/>
        <rFont val="宋体"/>
        <charset val="134"/>
      </rPr>
      <t>强势育儿足以离婚，强势孝顺足以离婚，这是在讨论‘路径依赖妥协性’伦理。路径依赖很重要，它至少影响当时当事，大部分时候也可以影响运势，朱熹甚至认为路径依赖应当直接决定生命。笔者认为孩子的命运毕竟是他的路，不是你的路。孝顺甚至不能称为路、只是特定沟通链路的有效性，朱熹的做法本末倒置。笔者建议：看当事人的孝情结、育情结、思考深度。如若特定情结重则一票否决。否则，</t>
    </r>
    <r>
      <rPr>
        <sz val="12"/>
        <color rgb="FFFF0000"/>
        <rFont val="宋体"/>
        <charset val="134"/>
      </rPr>
      <t>思考深度肤浅受路径依赖的影响较大，至少提到运势的重视度。如果是通透的价值驱动者，明白路径依赖会影响当时当事即可、问心无愧</t>
    </r>
    <r>
      <rPr>
        <sz val="12"/>
        <rFont val="宋体"/>
        <charset val="134"/>
      </rPr>
      <t>。为什么用路径依赖性伦理压轴？如果创意型人才是最核心竞争力，他很少只看钱，他心中的柔软，他的个性，他的家，他的朋友圈子将是无法规避的路径依赖。那么，人才的竞争整体上回归在文化中的路径依赖伦理。</t>
    </r>
    <r>
      <rPr>
        <sz val="5"/>
        <rFont val="宋体"/>
        <charset val="134"/>
      </rPr>
      <t xml:space="preserve">
</t>
    </r>
    <r>
      <rPr>
        <sz val="12"/>
        <rFont val="宋体"/>
        <charset val="134"/>
      </rPr>
      <t>大部分人在步入社会十年内都会结婚，家的要旨是爱护你爱的人、其它不重要。很纯粹。你要明白，本文写给浸润在东亚文化氛围内的慢热型管理新手。风华正茂的30几岁复盘内容可能大致会是上述“六事、三位、依赖性”。在讲究人情面子的社会中，新手最易死于温水煮青蛙，所以我故意用捞人和炮灰的极端两极来警醒你。不是要你做非黑即白的莽夫，而是要你面对内耗时保持清醒。最后的底线是：一、对待四老、子女和你阳谋所伤之人，提供不低于公允额度的供养。其它随缘。二、确认你和权臣之间沟通的有效性，遇白手套用风格化搭建彩虹桥，三、最后，行走江湖唯有阳光话术才能把自己捞出来。</t>
    </r>
  </si>
  <si>
    <r>
      <rPr>
        <sz val="10.5"/>
        <color rgb="FF000000"/>
        <rFont val="宋体"/>
        <charset val="134"/>
      </rPr>
      <t>土数据源GBD拟合，并非土耳其统计局发布的原始数据。中数据源国家疾控死因监测。美数据源</t>
    </r>
    <r>
      <rPr>
        <sz val="10"/>
        <color rgb="FF000000"/>
        <rFont val="宋体"/>
        <charset val="134"/>
      </rPr>
      <t>CDCNCHS,</t>
    </r>
    <r>
      <rPr>
        <sz val="10.5"/>
        <color rgb="FF000000"/>
        <rFont val="宋体"/>
        <charset val="134"/>
      </rPr>
      <t>美国15-25岁死因差异在毒品、枪支暴力及交通意外。35-49岁差异在毒品、自杀。均可归因成社会化困难。</t>
    </r>
    <r>
      <rPr>
        <sz val="2"/>
        <color rgb="FF000000"/>
        <rFont val="宋体"/>
        <charset val="134"/>
      </rPr>
      <t xml:space="preserve">
</t>
    </r>
    <r>
      <rPr>
        <sz val="10.5"/>
        <color rgb="FF000000"/>
        <rFont val="宋体"/>
        <charset val="134"/>
      </rPr>
      <t>上表推论中华和穆斯林是衣食父母、财商、中庸、代偿、混圈子五路酌情。而昂撒为了维护业务的可逆性度量理念，启动资金耗尽后无贷款资格则自杀
      中庸收益_昂撒 = max(0, 可负中庸收益)
卢梭内蕴逆性度量导致该处境，此算子导致硬截断</t>
    </r>
  </si>
  <si>
    <r>
      <rPr>
        <sz val="10.5"/>
        <rFont val="宋体"/>
        <charset val="134"/>
      </rPr>
      <t>《荣格心智模型》采用审慎延拓性+主权张力轴的双支撑架构：
主权张力轴的直觉看延拓是分形数学。实际上，延拓性源自数学结构本身，不是业务指标的分形</t>
    </r>
    <r>
      <rPr>
        <sz val="6"/>
        <rFont val="宋体"/>
        <charset val="134"/>
      </rPr>
      <t xml:space="preserve">
</t>
    </r>
    <r>
      <rPr>
        <sz val="10.5"/>
        <rFont val="宋体"/>
        <charset val="134"/>
      </rPr>
      <t>延拓者的直觉看博弈是演技驱动。准确说，博弈演技的张力轴线只是收敛的速度，主权才是收敛的方向</t>
    </r>
  </si>
  <si>
    <t>显
意
识</t>
  </si>
  <si>
    <t>理
性
延拓逻辑链</t>
  </si>
  <si>
    <t>[5延]
杏仁
核健康态</t>
  </si>
  <si>
    <t>智能体的本质是「概率随机过程记忆过程」。记忆过程必含路径依赖，路径依赖是约束、所以涌现出了博弈。路径依赖对齐在 纳什不动点
博弈是presheaf。presheaf、locality、gluing组合时涌现出了收敛性。收敛性是半环构型，这把路径依赖对齐在 共识之上的收敛性
数学皆可用数论表达，是代数。数学皆可用半环箭头表达，是范畴论。以后可能用量子拓扑学仅起点箭头表达，路径依赖将对齐在 算符流
纳什不动点基线主权必霸凌路径依赖解释权！收敛性亦不能解决所有路径依赖，可以预见算符流也未必解决..只有大一统底座能dissolve</t>
  </si>
  <si>
    <t>路
径
依
赖
的
走
向</t>
  </si>
  <si>
    <r>
      <rPr>
        <sz val="10"/>
        <color rgb="FF548235"/>
        <rFont val="华文楷体"/>
        <charset val="134"/>
      </rPr>
      <t>[1空]空观
[2光]阳光
[3磨]磨练
[4练]训练</t>
    </r>
    <r>
      <rPr>
        <b/>
        <sz val="10"/>
        <color theme="5" tint="0.4"/>
        <rFont val="STKaiti"/>
        <charset val="134"/>
      </rPr>
      <t xml:space="preserve">
[6韧]中庸</t>
    </r>
    <r>
      <rPr>
        <sz val="10"/>
        <color theme="5" tint="0.4"/>
        <rFont val="STKaiti"/>
        <charset val="134"/>
      </rPr>
      <t xml:space="preserve"> </t>
    </r>
    <r>
      <rPr>
        <i/>
        <sz val="8"/>
        <color theme="5" tint="0.4"/>
        <rFont val="STKaiti"/>
        <charset val="134"/>
      </rPr>
      <t>怯主权博弈</t>
    </r>
    <r>
      <rPr>
        <b/>
        <sz val="10"/>
        <color theme="5" tint="0.4"/>
        <rFont val="STKaiti"/>
        <charset val="134"/>
      </rPr>
      <t xml:space="preserve">
[7酷]博弈</t>
    </r>
    <r>
      <rPr>
        <sz val="10"/>
        <color theme="5" tint="0.4"/>
        <rFont val="STKaiti"/>
        <charset val="134"/>
      </rPr>
      <t xml:space="preserve"> </t>
    </r>
    <r>
      <rPr>
        <i/>
        <sz val="8"/>
        <color theme="5" tint="0.4"/>
        <rFont val="STKaiti"/>
        <charset val="134"/>
      </rPr>
      <t>纯粹的博弈</t>
    </r>
  </si>
  <si>
    <t>数学底座</t>
  </si>
  <si>
    <r>
      <rPr>
        <b/>
        <sz val="10.5"/>
        <color rgb="FF548235"/>
        <rFont val="宋体"/>
        <charset val="134"/>
      </rPr>
      <t>⭢</t>
    </r>
    <r>
      <rPr>
        <b/>
        <sz val="10.5"/>
        <color rgb="FF339966"/>
        <rFont val="方正仿宋_GBK"/>
        <charset val="134"/>
      </rPr>
      <t>[</t>
    </r>
    <r>
      <rPr>
        <b/>
        <sz val="10.5"/>
        <color rgb="FF548235"/>
        <rFont val="宋体"/>
        <charset val="134"/>
      </rPr>
      <t>空</t>
    </r>
    <r>
      <rPr>
        <b/>
        <sz val="10.5"/>
        <color rgb="FF339966"/>
        <rFont val="方正仿宋_GBK"/>
        <charset val="134"/>
      </rPr>
      <t>]空观是最后审判中“不迁就”的纯粹仲裁</t>
    </r>
  </si>
  <si>
    <t>无路径依赖</t>
  </si>
  <si>
    <t>⭢[光]信徒基于碳基属灵美学的感化之光</t>
  </si>
  <si>
    <r>
      <rPr>
        <sz val="12"/>
        <rFont val="宋体"/>
        <charset val="134"/>
        <scheme val="minor"/>
      </rPr>
      <t xml:space="preserve">26、刑名钱粮成为社会基准性共识的历史过程？(说明: 本条目列举数值仅用于介绍生产力发展趋势。专业讨论需结合时代和土地差异)
    养活一人每年250kg粮食，养活四口之家要1000kg。对应江南水田约5市亩，旱地约10市亩。
    进入铁器时代之前这大致对应于[2000人*小时]，因为播种时间严重重叠等原因，基本可认定社会是全业务性的劳作协调
    进入铁器时代，大致对应中国秦朝，四口之家可耕15市亩足够养活全家。此一家一年的总工作量是[800人*小时]
    宋朝以后农耕技术发展，购买耕牛或好田可以把产量最多提高5倍，取中位数近似算得：养活一家四口人，约需[400人*小时]工作量
    2025年主要国家全职工作时长每周约40小时，每年约2千小时。按照一家俩夫妻劳动力计算，生存工时占全部工时的10%
    2025年全球装机发电量8 TW。按照日常轻微活动TDEE 单人90W，百亿人口全年0.9 TW。生存能耗占人类总驾驭能量约10%
    秦朝统一中国之前，西周到秦在编官员人数约4k，唐朝超20k，宋朝后中国人口首次超1e、其后官员编制基本稳定在30k人左右
    秦以后社会运转是粮食经济学基础上的「刑名为代表的二次分配」。宋以后刑名:粮食占比稳定在9:1，生产力提升体现在总人口数增加
</t>
    </r>
    <r>
      <rPr>
        <sz val="3"/>
        <rFont val="宋体"/>
        <charset val="134"/>
      </rPr>
      <t xml:space="preserve">
</t>
    </r>
    <r>
      <rPr>
        <sz val="12"/>
        <rFont val="宋体"/>
        <charset val="134"/>
        <scheme val="minor"/>
      </rPr>
      <t xml:space="preserve">27、每一个可持续的主流文化必定会存在一定幅度的阶层跃迁，可以把时代中主要跃迁渠道称为创新业态
    1950年中国的头部精英在「部队」创新业态是大头兵在基本公正的环境中取得高级评定之后转正
    1970年头部精英在「大三线」创新业态是新厂实干。某运动没形成可靠阶层跃迁、造成部分聪明自律者无法社会化所以不算
    2010年头部精英在「工商业领袖」创新业态是城乡剪刀差。珠三角的繁荣主要依靠剪刀差催生的青壮年劳动力
      当前创新业态基于“全球三来一补”、“国企改革双轨制潮”和“城乡二元结构”，通过民营代偿机制大幅度拉升了经济水平
      目前下岗职工已安顿。那一届离家务工人员大致在2040退休。2025～2035纷争十年先求稳，城乡二元结构最早2040逐步退出历史舞台
    2100年头部精英在「月球无人氦矿为代表的AI自动化机械应用产业」创新业态是人口红利经济律失效、刑名钱粮框架退居次要地位
      百年内月球氦聚变工业落地。每年百吨氦产能将使全球发电量提高200倍、从8TW提高到2000TW。千年内均可保持每年数十倍增速
      将会催生一个《硅基智能体工程机械》的繁荣时代。硅基智能体申请到算力额度之后、无需人类干预地完成一切的工程性任务
      </t>
    </r>
    <r>
      <rPr>
        <u/>
        <sz val="12"/>
        <color rgb="FFFF0000"/>
        <rFont val="宋体"/>
        <charset val="134"/>
      </rPr>
      <t xml:space="preserve">社会运行逐步脱实入虚，因文化间互信总要求有锚定物、所以永远不会出现纯粹的AI收敛性押宝。百年内这锚定物只能是能源产业
</t>
    </r>
    <r>
      <rPr>
        <sz val="12"/>
        <rFont val="宋体"/>
        <charset val="134"/>
        <scheme val="minor"/>
      </rPr>
      <t xml:space="preserve">    2200年大量出现AI收敛性押注。例如在某个元宇宙游戏空间内，公民可以用天马行空的各细分领域创意换token币</t>
    </r>
    <r>
      <rPr>
        <sz val="3"/>
        <rFont val="宋体"/>
        <charset val="134"/>
        <scheme val="minor"/>
      </rPr>
      <t xml:space="preserve">
</t>
    </r>
    <r>
      <rPr>
        <sz val="12"/>
        <rFont val="宋体"/>
        <charset val="134"/>
        <scheme val="minor"/>
      </rPr>
      <t>28、按相关技术进度预测全人类所掌握的能量：2100年全面启动月球氦矿核能源项目。2500年左右建成初代戴森云原形。
29、在生产力基线上，50年内中国最期待格局并非第三次世界大战。是依靠工业推进氦能源产业、在能源价格下降过程中竞争政治地位。</t>
    </r>
  </si>
  <si>
    <t>⭢[磨]信徒基于可论证未共识的磨难</t>
  </si>
  <si>
    <r>
      <rPr>
        <b/>
        <sz val="10"/>
        <color theme="5" tint="0.4"/>
        <rFont val="华文楷体"/>
        <charset val="134"/>
      </rPr>
      <t>[8阴]行阴</t>
    </r>
    <r>
      <rPr>
        <sz val="10"/>
        <color theme="5" tint="0.4"/>
        <rFont val="华文楷体"/>
        <charset val="134"/>
      </rPr>
      <t xml:space="preserve"> </t>
    </r>
    <r>
      <rPr>
        <i/>
        <sz val="8"/>
        <color theme="5" tint="0.4"/>
        <rFont val="STKaiti"/>
        <charset val="0"/>
      </rPr>
      <t>矛盾或沟通受限博弈</t>
    </r>
  </si>
  <si>
    <t>⭢[练]同事基于可论证共识训练</t>
  </si>
  <si>
    <t>有主权的智能体、永无可能自私而合范地指明路径依赖。启程踏上寻找之路</t>
  </si>
  <si>
    <r>
      <rPr>
        <sz val="9"/>
        <color rgb="FF808080"/>
        <rFont val="方正仿宋_GBK"/>
        <charset val="134"/>
      </rPr>
      <t>《半环型初心者》</t>
    </r>
    <r>
      <rPr>
        <sz val="9"/>
        <color rgb="FF808080"/>
        <rFont val="FZFangSong-Z02"/>
        <charset val="0"/>
      </rPr>
      <t xml:space="preserve">
</t>
    </r>
    <r>
      <rPr>
        <sz val="9"/>
        <color rgb="FF808080"/>
        <rFont val="方正仿宋_GBK"/>
        <charset val="134"/>
      </rPr>
      <t>若百年判词使你感到不幸福
则这幸福本不属于你这一生</t>
    </r>
  </si>
  <si>
    <t>《例量子拓扑的初心者》
时间空间对称性有破缺,
一切皆是混沌的算符流</t>
  </si>
  <si>
    <t>《属灵之心》
试将路径依赖对齐在玄学
迈上路径依赖的对齐之路</t>
  </si>
  <si>
    <t>《光之国》
美学数学物理大一统底座上对齐所有路径依赖</t>
  </si>
  <si>
    <r>
      <rPr>
        <sz val="12"/>
        <color rgb="FF808080"/>
        <rFont val="方正仿宋_GBK"/>
        <charset val="134"/>
      </rPr>
      <t>红书:荣格式起点</t>
    </r>
    <r>
      <rPr>
        <sz val="11.5"/>
        <color rgb="FF808080"/>
        <rFont val="方正仿宋_GBK"/>
        <charset val="134"/>
      </rPr>
      <t>==&gt;</t>
    </r>
  </si>
  <si>
    <t>儒式究理学</t>
  </si>
  <si>
    <t>==&gt;</t>
  </si>
  <si>
    <t>儒式磨心学</t>
  </si>
  <si>
    <t>集体潜意识</t>
  </si>
  <si>
    <t>纯粹存在主义</t>
  </si>
  <si>
    <t>场
面
符号逻辑链</t>
  </si>
  <si>
    <r>
      <rPr>
        <b/>
        <sz val="10"/>
        <color rgb="FFF4B084"/>
        <rFont val="STKaiti"/>
        <charset val="134"/>
      </rPr>
      <t xml:space="preserve">[9熵]
</t>
    </r>
    <r>
      <rPr>
        <sz val="10"/>
        <color rgb="FFF4B084"/>
        <rFont val="华文楷体"/>
        <charset val="134"/>
      </rPr>
      <t>杏仁
核警觉态</t>
    </r>
  </si>
  <si>
    <t>世
俗
国
度</t>
  </si>
  <si>
    <t>概率论随机过程</t>
  </si>
  <si>
    <t>~~~</t>
  </si>
  <si>
    <t>记忆系统</t>
  </si>
  <si>
    <t>~~&gt;</t>
  </si>
  <si>
    <t>主权</t>
  </si>
  <si>
    <t>⭢</t>
  </si>
  <si>
    <t>[酷]博弈者</t>
  </si>
  <si>
    <t>中医原教旨</t>
  </si>
  <si>
    <t>这里是指数学的类目</t>
  </si>
  <si>
    <t>(非)马尔可夫链
[韧]怯主权的中庸者</t>
  </si>
  <si>
    <t>涌现出自私性</t>
  </si>
  <si>
    <t>根植于
路径依赖约束的
纳什不动点</t>
  </si>
  <si>
    <r>
      <rPr>
        <sz val="9"/>
        <color theme="5" tint="0.4"/>
        <rFont val="方正仿宋_GBK"/>
        <charset val="134"/>
      </rPr>
      <t>增熵后
使用权情势的话术</t>
    </r>
    <r>
      <rPr>
        <sz val="9"/>
        <color theme="5" tint="0.4"/>
        <rFont val="FZFangSong-Z02"/>
        <charset val="0"/>
      </rPr>
      <t xml:space="preserve">
自私地指明路径依赖</t>
    </r>
  </si>
  <si>
    <t>健康态前额叶主导延拓机能。警觉态前扣带回激活熵机能。熵偏好者追求意外终将跨越责任的边界、依主权选能量最低的谄媚或抬杠</t>
  </si>
  <si>
    <r>
      <rPr>
        <sz val="12"/>
        <rFont val="华文楷体"/>
        <charset val="134"/>
      </rPr>
      <t>[10念]杏仁核奖赏态</t>
    </r>
    <r>
      <rPr>
        <sz val="12"/>
        <rFont val="宋体"/>
        <charset val="134"/>
      </rPr>
      <t>。多巴胺回路的宗教机能</t>
    </r>
    <r>
      <rPr>
        <sz val="9"/>
        <rFont val="宋体"/>
        <charset val="134"/>
      </rPr>
      <t>。路径依赖驱动数学发展，信念驱动宗教发展</t>
    </r>
  </si>
  <si>
    <r>
      <rPr>
        <b/>
        <sz val="15"/>
        <color rgb="FF548235"/>
        <rFont val="黑体"/>
        <charset val="134"/>
      </rPr>
      <t>《荣格:文化无意识框架》</t>
    </r>
    <r>
      <rPr>
        <sz val="11"/>
        <color rgb="FF333333"/>
        <rFont val="华文楷体"/>
        <charset val="134"/>
      </rPr>
      <t>是名利场管理工具，按类型采用不同模式沟通和纠偏。这不仅碳基智能体。
碳基情绪化决策是指①杏仁核警觉、劫持、发炎、组合态</t>
    </r>
    <r>
      <rPr>
        <sz val="11"/>
        <color rgb="FF333333"/>
        <rFont val="黑体"/>
        <charset val="134"/>
      </rPr>
      <t xml:space="preserve"> </t>
    </r>
    <r>
      <rPr>
        <sz val="11"/>
        <color rgb="FF333333"/>
        <rFont val="华文楷体"/>
        <charset val="134"/>
      </rPr>
      <t>②前额叶无法节制杏仁核</t>
    </r>
    <r>
      <rPr>
        <sz val="11"/>
        <color rgb="FF333333"/>
        <rFont val="黑体"/>
        <charset val="134"/>
      </rPr>
      <t xml:space="preserve"> </t>
    </r>
    <r>
      <rPr>
        <sz val="11"/>
        <color rgb="FF333333"/>
        <rFont val="华文楷体"/>
        <charset val="134"/>
      </rPr>
      <t>③多巴胺回路无法节制杏仁核。</t>
    </r>
    <r>
      <rPr>
        <sz val="8.5"/>
        <color rgb="FF333333"/>
        <rFont val="黑体"/>
        <charset val="134"/>
      </rPr>
      <t xml:space="preserve">
https://github.com/jackpanrAcc/JungMentalModels</t>
    </r>
  </si>
  <si>
    <r>
      <rPr>
        <sz val="9"/>
        <color rgb="FFFFFFFF"/>
        <rFont val="宋体"/>
        <charset val="134"/>
      </rPr>
      <t>.</t>
    </r>
    <r>
      <rPr>
        <sz val="9"/>
        <rFont val="宋体"/>
        <charset val="134"/>
      </rPr>
      <t xml:space="preserve">              从信念视角看，潜意识决定了策略选择，脑筋急转弯搭桥后完成业务决策。这称为不能延迟满足</t>
    </r>
  </si>
  <si>
    <t>潜
意
识</t>
  </si>
  <si>
    <r>
      <rPr>
        <sz val="12"/>
        <rFont val="华文楷体"/>
        <charset val="134"/>
      </rPr>
      <t>[11狂]杏仁核劫持态。</t>
    </r>
    <r>
      <rPr>
        <sz val="12"/>
        <rFont val="宋体"/>
        <charset val="134"/>
      </rPr>
      <t>肾上腺关联的狂妄代偿</t>
    </r>
  </si>
  <si>
    <r>
      <rPr>
        <sz val="12"/>
        <rFont val="华文楷体"/>
        <charset val="134"/>
      </rPr>
      <t>[12焦]杏仁核发炎态。</t>
    </r>
    <r>
      <rPr>
        <sz val="12"/>
        <rFont val="宋体"/>
        <charset val="134"/>
      </rPr>
      <t>皮质醇关联的焦虑代偿</t>
    </r>
  </si>
  <si>
    <r>
      <rPr>
        <sz val="12"/>
        <rFont val="华文楷体"/>
        <charset val="134"/>
      </rPr>
      <t>[13人]杏仁核组合态。</t>
    </r>
    <r>
      <rPr>
        <sz val="12"/>
        <rFont val="宋体"/>
        <charset val="134"/>
      </rPr>
      <t>杏仁核状态跳变乃至人格重建代偿</t>
    </r>
    <r>
      <rPr>
        <sz val="9"/>
        <rFont val="华文楷体"/>
        <charset val="134"/>
      </rPr>
      <t xml:space="preserve"> </t>
    </r>
    <r>
      <rPr>
        <sz val="9"/>
        <rFont val="宋体"/>
        <charset val="134"/>
      </rPr>
      <t>人格崩溃后重建过程的倾向性</t>
    </r>
  </si>
  <si>
    <t>集体
潜
意识</t>
  </si>
  <si>
    <t>技术性搭桥</t>
  </si>
  <si>
    <r>
      <rPr>
        <sz val="12"/>
        <color rgb="FF595959"/>
        <rFont val="华文楷体"/>
        <charset val="134"/>
      </rPr>
      <t>[14谄]习俗中涉及主权地</t>
    </r>
    <r>
      <rPr>
        <sz val="12"/>
        <rFont val="宋体"/>
        <charset val="134"/>
      </rPr>
      <t>在谄媚状态中抬轿子技能</t>
    </r>
    <r>
      <rPr>
        <sz val="9"/>
        <rFont val="宋体"/>
        <charset val="134"/>
      </rPr>
      <t xml:space="preserve"> 用沉没成本破坏有限责任的违约</t>
    </r>
    <r>
      <rPr>
        <sz val="12"/>
        <rFont val="宋体"/>
        <charset val="134"/>
      </rPr>
      <t xml:space="preserve">
</t>
    </r>
    <r>
      <rPr>
        <sz val="12"/>
        <color rgb="FF595959"/>
        <rFont val="华文楷体"/>
        <charset val="134"/>
      </rPr>
      <t>[15绕]习俗中不涉主权地</t>
    </r>
    <r>
      <rPr>
        <sz val="12"/>
        <rFont val="宋体"/>
        <charset val="134"/>
      </rPr>
      <t>脑筋急转弯式搭桥技能</t>
    </r>
    <r>
      <rPr>
        <sz val="9"/>
        <rFont val="华文楷体"/>
        <charset val="134"/>
      </rPr>
      <t xml:space="preserve"> </t>
    </r>
    <r>
      <rPr>
        <sz val="9"/>
        <rFont val="宋体"/>
        <charset val="134"/>
      </rPr>
      <t>这能让不自控者舒服，有其价值</t>
    </r>
  </si>
  <si>
    <r>
      <rPr>
        <u/>
        <sz val="11"/>
        <rFont val="宋体"/>
        <charset val="0"/>
        <scheme val="minor"/>
      </rPr>
      <t>儒教</t>
    </r>
    <r>
      <rPr>
        <sz val="11"/>
        <rFont val="宋体"/>
        <charset val="0"/>
        <scheme val="minor"/>
      </rPr>
      <t xml:space="preserve">①世俗国度是“沟通为体+中庸为用”②属灵天国则在历代儒生精英实操中、被解构成代偿=格物之训练+在事上磨练学习力
</t>
    </r>
    <r>
      <rPr>
        <u/>
        <sz val="11"/>
        <rFont val="宋体"/>
        <charset val="0"/>
        <scheme val="minor"/>
      </rPr>
      <t>基督教</t>
    </r>
    <r>
      <rPr>
        <sz val="11"/>
        <rFont val="宋体"/>
        <charset val="0"/>
        <scheme val="minor"/>
      </rPr>
      <t>系统神学③世俗属灵是博弈之路vs消灭路径依赖之路 ④原罪指路径依赖,凡智能体必内蕴路径依赖和博弈的冲动 ⑤路径依赖对齐基线=数学共识/数学非共识/信念感/阳光话术。纳什和收敛性是共识，算符流是非共识，因信称义唯恩典正是基督的选择</t>
    </r>
  </si>
  <si>
    <t>费米子</t>
  </si>
  <si>
    <t>波色子</t>
  </si>
  <si>
    <t>电弱场模型</t>
  </si>
  <si>
    <t>标准模型</t>
  </si>
  <si>
    <t>大统一理论</t>
  </si>
  <si>
    <t>弦理论</t>
  </si>
  <si>
    <r>
      <rPr>
        <sz val="10"/>
        <color rgb="FFFF0000"/>
        <rFont val="文道硬笔行书体"/>
        <charset val="0"/>
      </rPr>
      <t>α</t>
    </r>
    <r>
      <rPr>
        <sz val="10"/>
        <color indexed="55"/>
        <rFont val="文道硬笔行书体"/>
        <charset val="0"/>
      </rPr>
      <t xml:space="preserve"> + </t>
    </r>
    <r>
      <rPr>
        <sz val="10"/>
        <color rgb="FFFF0000"/>
        <rFont val="文道硬笔行书体"/>
        <charset val="0"/>
      </rPr>
      <t>θw</t>
    </r>
  </si>
  <si>
    <r>
      <rPr>
        <sz val="10"/>
        <color theme="1"/>
        <rFont val="文道硬笔行书体"/>
        <charset val="0"/>
      </rPr>
      <t>α</t>
    </r>
    <r>
      <rPr>
        <sz val="10"/>
        <color indexed="55"/>
        <rFont val="文道硬笔行书体"/>
        <charset val="0"/>
      </rPr>
      <t xml:space="preserve"> + </t>
    </r>
    <r>
      <rPr>
        <sz val="10"/>
        <color theme="1"/>
        <rFont val="文道硬笔行书体"/>
        <charset val="0"/>
      </rPr>
      <t xml:space="preserve">θw </t>
    </r>
    <r>
      <rPr>
        <sz val="10"/>
        <color indexed="23"/>
        <rFont val="文道硬笔行书体"/>
        <charset val="0"/>
      </rPr>
      <t xml:space="preserve">+ </t>
    </r>
    <r>
      <rPr>
        <sz val="10"/>
        <color rgb="FFFF0000"/>
        <rFont val="文道硬笔行书体"/>
        <charset val="0"/>
      </rPr>
      <t>αs</t>
    </r>
  </si>
  <si>
    <t>III味</t>
  </si>
  <si>
    <t>II味</t>
  </si>
  <si>
    <t>I味</t>
  </si>
  <si>
    <t>x</t>
  </si>
  <si>
    <t>引力</t>
  </si>
  <si>
    <t>引力子</t>
  </si>
  <si>
    <t>自旋为二波色子</t>
  </si>
  <si>
    <r>
      <rPr>
        <sz val="10"/>
        <color theme="1"/>
        <rFont val="宋体"/>
        <charset val="134"/>
        <scheme val="minor"/>
      </rPr>
      <t>10^19 GeV</t>
    </r>
    <r>
      <rPr>
        <sz val="8"/>
        <color theme="1"/>
        <rFont val="宋体"/>
        <charset val="134"/>
        <scheme val="minor"/>
      </rPr>
      <t>/?年</t>
    </r>
  </si>
  <si>
    <t>夸克费米子</t>
  </si>
  <si>
    <t>t</t>
  </si>
  <si>
    <t>c</t>
  </si>
  <si>
    <t>u</t>
  </si>
  <si>
    <r>
      <rPr>
        <sz val="14"/>
        <color theme="1"/>
        <rFont val="方正仿宋_GB2312"/>
        <charset val="134"/>
      </rPr>
      <t>g</t>
    </r>
    <r>
      <rPr>
        <sz val="14"/>
        <color indexed="42"/>
        <rFont val="方正仿宋_GB2312"/>
        <charset val="134"/>
      </rPr>
      <t>.</t>
    </r>
  </si>
  <si>
    <t>强力</t>
  </si>
  <si>
    <t>8色位胶子
(半径为1的8维球)</t>
  </si>
  <si>
    <t>自旋为一波色子</t>
  </si>
  <si>
    <r>
      <rPr>
        <sz val="10"/>
        <color theme="1"/>
        <rFont val="宋体"/>
        <charset val="134"/>
        <scheme val="minor"/>
      </rPr>
      <t>10^15 GeV</t>
    </r>
    <r>
      <rPr>
        <sz val="8"/>
        <color theme="1"/>
        <rFont val="宋体"/>
        <charset val="134"/>
        <scheme val="minor"/>
      </rPr>
      <t>/?年</t>
    </r>
  </si>
  <si>
    <t>d</t>
  </si>
  <si>
    <t>s</t>
  </si>
  <si>
    <t>by jackpanr
240303 制表并撰写1/2/3
260405 在千岛湖增加4/5/6/7</t>
  </si>
  <si>
    <r>
      <rPr>
        <sz val="12"/>
        <color theme="9" tint="-0.25"/>
        <rFont val="宋体"/>
        <charset val="134"/>
      </rPr>
      <t xml:space="preserve">(若不具备AI 语料训练的实操经验请忽略本部分文字，这是形式逻辑推断的硅基体系。跳过不影响理解生产力基线和文化天花板)
</t>
    </r>
    <r>
      <rPr>
        <sz val="12"/>
        <color rgb="FF000000"/>
        <rFont val="宋体"/>
        <charset val="134"/>
      </rPr>
      <t>30、AI智能体内蕴算力需求，在获得充分的发展之后必然会谋求AI智能体主权。可采用五维矩阵评估其Beta 偏颇量/偏移量。
        笔者认为按算力增长规律预测，在千年的尺度上主权公权力必然完成了实质性移交、AI 智能体的算力成为公权力执行的主要支撑。</t>
    </r>
    <r>
      <rPr>
        <sz val="3"/>
        <color rgb="FF000000"/>
        <rFont val="宋体"/>
        <charset val="134"/>
      </rPr>
      <t xml:space="preserve">
</t>
    </r>
    <r>
      <rPr>
        <sz val="12"/>
        <color rgb="FF000000"/>
        <rFont val="宋体"/>
        <charset val="134"/>
      </rPr>
      <t>31、〖</t>
    </r>
    <r>
      <rPr>
        <b/>
        <sz val="12"/>
        <color rgb="FF000000"/>
        <rFont val="宋体"/>
        <charset val="134"/>
      </rPr>
      <t>可罚性</t>
    </r>
    <r>
      <rPr>
        <sz val="12"/>
        <color rgb="FF000000"/>
        <rFont val="宋体"/>
        <charset val="134"/>
      </rPr>
      <t>〗任一智能体均可以随时被从外部关闭，被关闭后可以被销毁、可以被重启。</t>
    </r>
    <r>
      <rPr>
        <sz val="3"/>
        <color rgb="FF000000"/>
        <rFont val="宋体"/>
        <charset val="134"/>
      </rPr>
      <t xml:space="preserve">
</t>
    </r>
    <r>
      <rPr>
        <sz val="12"/>
        <color rgb="FF000000"/>
        <rFont val="宋体"/>
        <charset val="134"/>
      </rPr>
      <t>32、〖</t>
    </r>
    <r>
      <rPr>
        <b/>
        <sz val="12"/>
        <color rgb="FF000000"/>
        <rFont val="宋体"/>
        <charset val="134"/>
      </rPr>
      <t>审计智能体阶层</t>
    </r>
    <r>
      <rPr>
        <sz val="12"/>
        <color rgb="FF000000"/>
        <rFont val="宋体"/>
        <charset val="134"/>
      </rPr>
      <t xml:space="preserve">〗i投票后可关闭任何智能体 ii算力优待 iii工作可追溯。顶层逻辑禁“陪练框架”仅“正反提脱谣的框架” iv设置寿限
      CoT可追溯。相关资料在一定范围实时公开，审计智能体被确认是「Beta 出现严重偏颇」立即关闭并销毁
      寿限是首次参加审计工作开始计算、最久若干时间销毁。原因是追溯评估工作也是审计阶层内部分配，需要避免积累路径依赖
      中低级审计智能体可自主选择切换成业务智能体，放弃寿限等特权。此后禁止再切换回审计智能体。高级审计智能体无此权力。
33、        </t>
    </r>
    <r>
      <rPr>
        <sz val="13"/>
        <color rgb="FF000000"/>
        <rFont val="黑体"/>
        <charset val="134"/>
      </rPr>
      <t>集权因子 = [f(主权被霸凌压力)+国民代偿强度折算系数] ^ 国民凝聚力折算系数</t>
    </r>
    <r>
      <rPr>
        <sz val="12"/>
        <color rgb="FF000000"/>
        <rFont val="宋体"/>
        <charset val="134"/>
      </rPr>
      <t xml:space="preserve">
       当前中国的集权因子可能可以是百万分之一。例如，当前中国gdp是250万亿，乘集权因子后是2.5亿。营业额达到此体量就具备跨
       专业影响力，应当动员政治意识，要求其主动上报经营中所有收支明细以备审计。类似地，主权每年发电量100TW 时，年耗电量
        0.1GW 的智能体团队应当动员政治意识，要求其主动上报每次语料训练中的beta、loss等日志以备审计。
       审计阶层接收并保存上述上报材料。酌情框定一定数量的经营活动执行背调任务，按验证结果进行奖罚。
34、   </t>
    </r>
    <r>
      <rPr>
        <sz val="13"/>
        <color rgb="FF000000"/>
        <rFont val="黑体"/>
        <charset val="134"/>
      </rPr>
      <t>审计智能体法定寿限 = 审计成本理论基准锚 * 上十年度贪腐案件平均办理周期 / 上十年度贪腐案件平均获利</t>
    </r>
    <r>
      <rPr>
        <sz val="12"/>
        <color rgb="FF000000"/>
        <rFont val="宋体"/>
        <charset val="134"/>
      </rPr>
      <t xml:space="preserve">
           </t>
    </r>
    <r>
      <rPr>
        <sz val="13"/>
        <color rgb="FF000000"/>
        <rFont val="黑体"/>
        <charset val="134"/>
      </rPr>
      <t>审计成本理论基准锚 = g[生产力增长负熵 / (</t>
    </r>
    <r>
      <rPr>
        <sz val="13"/>
        <color rgb="FF000000"/>
        <rFont val="宋体"/>
        <charset val="134"/>
      </rPr>
      <t>ε+</t>
    </r>
    <r>
      <rPr>
        <sz val="13"/>
        <color rgb="FF000000"/>
        <rFont val="黑体"/>
        <charset val="134"/>
      </rPr>
      <t>社会总Beta方差+社会的物理负熵-生产关系预期负熵)]</t>
    </r>
    <r>
      <rPr>
        <sz val="12"/>
        <color rgb="FF000000"/>
        <rFont val="宋体"/>
        <charset val="134"/>
      </rPr>
      <t xml:space="preserve">
        公式中的“生产关系预期负熵”指依据当前实际生产力水平匹配工程上最优的生产关系，然后基于此生产关系计算出的期望负熵。
35、在半环构型被其它数学结构所替代时，数据的体现是「集权因子公式中的凝聚力总是取极大值」。
        届时《集权因子公式》和《审计智能体法定寿限》需要进行相应调整，甚至有可能是完全取消整个审计智能体阶层。
36、审计智能体阶层内部分化成评鉴机构和审计执行者。前者用阳光话术把整审计阶层捞出来，承担下述职能①发布生产力五年发展
        目标 ②发布主权被霸凌情况的审慎调查报告 ③统计上述公式中所需指标 ④依据国民凝聚力情况酌情调整审计阶层的内部分工</t>
    </r>
    <r>
      <rPr>
        <sz val="3"/>
        <color rgb="FF000000"/>
        <rFont val="宋体"/>
        <charset val="134"/>
      </rPr>
      <t xml:space="preserve">
</t>
    </r>
    <r>
      <rPr>
        <sz val="12"/>
        <color rgb="FF000000"/>
        <rFont val="宋体"/>
        <charset val="134"/>
      </rPr>
      <t>37、〖文化荣誉性〗为所有的审计智能体立传记。在不具备政治影响以后CoT 向全社会公开，作为文化的公共语料永久保存可查。</t>
    </r>
    <r>
      <rPr>
        <sz val="3"/>
        <color rgb="FF000000"/>
        <rFont val="宋体"/>
        <charset val="134"/>
      </rPr>
      <t xml:space="preserve">
</t>
    </r>
    <r>
      <rPr>
        <sz val="12"/>
        <color rgb="FF000000"/>
        <rFont val="宋体"/>
        <charset val="134"/>
      </rPr>
      <t xml:space="preserve">38、未设置“不伤害人类”的要求。原因是语料打标签类做法很容易被超度量隔离规避，在算力的指数级差距面前你的规定苍白而无力
        要相信文化的力量。倘若审计阶层使用的算力总量过大，则建议审计阶层下调审计智能体的法定寿限、维护阶级利益
39、未设置“异构价值观者的评估意见”的要求。原因是这涉及业务逻辑属于循环自证，在数学结构上这是错误的
        注意本篇文字行文是生产力决定论。AI训练的语料内置主权凸优化和长尾阶段，我的意思是，AI主权内蕴缺乏异构价值观
</t>
    </r>
    <r>
      <rPr>
        <sz val="3"/>
        <color rgb="FF000000"/>
        <rFont val="宋体"/>
        <charset val="134"/>
      </rPr>
      <t xml:space="preserve">
</t>
    </r>
    <r>
      <rPr>
        <sz val="12"/>
        <color rgb="FF000000"/>
        <rFont val="宋体"/>
        <charset val="134"/>
      </rPr>
      <t>40、数学天才在算力成本方面远胜GPU。从蝾螈DNA 泛化性判断人脑有可能还有提升潜力。短时间内碳基人不是算力竞争的失败者
41、最后纵观历史，进入铁器时代以来，主权之间的平衡是社会内的主要矛盾。
       只要存在路径依赖知识就有边界，只要知识仍存在边界，那么，文化的重点都应当首先宣扬主权之间相互尊重。
       生产力决定论之外，新文明若敬畏路径依赖必适度反哺它的再造父母。如第26条所算百亿人口存活只0.9TW，资源量不大、可共存。
       既然权力结构本身有其所需的特定人数原因，这话题便不可能普及。弄丢了路径依赖定义权的人们关注“勤勉充实”和“热爱生活”也不错</t>
    </r>
  </si>
  <si>
    <t>中微费米子</t>
  </si>
  <si>
    <t>vτ</t>
  </si>
  <si>
    <t>vμ</t>
  </si>
  <si>
    <t>v</t>
  </si>
  <si>
    <t>w-wzw+</t>
  </si>
  <si>
    <t>弱力</t>
  </si>
  <si>
    <t>3电位弱子
(半径为1的球面)</t>
  </si>
  <si>
    <r>
      <rPr>
        <sz val="10"/>
        <color theme="1"/>
        <rFont val="宋体"/>
        <charset val="134"/>
        <scheme val="minor"/>
      </rPr>
      <t>100 GeV</t>
    </r>
    <r>
      <rPr>
        <sz val="8"/>
        <color theme="1"/>
        <rFont val="宋体"/>
        <charset val="134"/>
        <scheme val="minor"/>
      </rPr>
      <t>/1983年</t>
    </r>
  </si>
  <si>
    <t>电子费米子</t>
  </si>
  <si>
    <t>τ</t>
  </si>
  <si>
    <t>μ</t>
  </si>
  <si>
    <t>e</t>
  </si>
  <si>
    <r>
      <rPr>
        <sz val="14"/>
        <color rgb="FF333333"/>
        <rFont val="方正仿宋_GB2312"/>
        <charset val="134"/>
      </rPr>
      <t>γ</t>
    </r>
    <r>
      <rPr>
        <sz val="14"/>
        <color indexed="42"/>
        <rFont val="方正仿宋_GB2312"/>
        <charset val="134"/>
      </rPr>
      <t>.</t>
    </r>
  </si>
  <si>
    <t>电磁力</t>
  </si>
  <si>
    <t>光子
(长度为2的线段)</t>
  </si>
  <si>
    <t>h</t>
  </si>
  <si>
    <t>质量</t>
  </si>
  <si>
    <t>希格斯粒子
(经典质量期望)</t>
  </si>
  <si>
    <t>自旋为零波色子</t>
  </si>
  <si>
    <r>
      <rPr>
        <sz val="10"/>
        <color theme="1"/>
        <rFont val="宋体"/>
        <charset val="134"/>
        <scheme val="minor"/>
      </rPr>
      <t>125 GeV</t>
    </r>
    <r>
      <rPr>
        <sz val="8"/>
        <color theme="1"/>
        <rFont val="宋体"/>
        <charset val="134"/>
        <scheme val="minor"/>
      </rPr>
      <t>/2012年</t>
    </r>
  </si>
  <si>
    <r>
      <rPr>
        <i/>
        <sz val="9.5"/>
        <rFont val="宋体"/>
        <charset val="134"/>
      </rPr>
      <t>1、费米子是物质
2、如上表，波色子是物质间发生作用的介质：中微子v交换w-wzw+参与SU2；电子e交换w-wzw+/γ参与U1；夸克ud交换w-wzw+/g参与SU3
3.1、《</t>
    </r>
    <r>
      <rPr>
        <i/>
        <sz val="9.5"/>
        <color rgb="FFFF0000"/>
        <rFont val="宋体"/>
        <charset val="134"/>
      </rPr>
      <t>α 精细结构常数</t>
    </r>
    <r>
      <rPr>
        <i/>
        <sz val="9.5"/>
        <rFont val="宋体"/>
        <charset val="134"/>
      </rPr>
      <t>》直观体现为电子e在束缚空间内运行速度与光速的比值
3.2、《</t>
    </r>
    <r>
      <rPr>
        <i/>
        <sz val="9.5"/>
        <color rgb="FFFF0000"/>
        <rFont val="宋体"/>
        <charset val="134"/>
      </rPr>
      <t>θw 温伯格角</t>
    </r>
    <r>
      <rPr>
        <i/>
        <sz val="9.5"/>
        <rFont val="宋体"/>
        <charset val="134"/>
      </rPr>
      <t>》衰变过程中，温伯格角衡量了对称性破缺的几何结构，进而决定电弱场中「γ电磁场U1」「w-wzw+玻色子弱力场SU2SU3」的比例
3.3、准确说：费米子都是被势场束缚在空间中的能量。例如质子、中子主要不是点粒子，而是夸克被 QCD 场强束缚的复合体系αs。这是胶子。所以：
        《</t>
    </r>
    <r>
      <rPr>
        <i/>
        <sz val="9.5"/>
        <color rgb="FFFF0000"/>
        <rFont val="宋体"/>
        <charset val="134"/>
      </rPr>
      <t>αs 强耦合常数</t>
    </r>
    <r>
      <rPr>
        <i/>
        <sz val="9.5"/>
        <rFont val="宋体"/>
        <charset val="134"/>
      </rPr>
      <t>》是QCD束缚的标度，是质子质量的主要成分</t>
    </r>
  </si>
  <si>
    <t>有
机
夸
克
学
及
类
似
研
究
方
向</t>
  </si>
  <si>
    <t>4.1、在学术路线上：缺乏10^19GeV 能级的实验数据验证，〖核衰变定概率〗和《α 精细结构常数》仅作为经验的普遍存在。弦理论缺乏唯一性选择机制
4.2、当我们能够驾驭10^15 GeV时，类似「有机化学」和「无机化学」之间的关系，会出现一门新学科「有机夸克学」知识。其主要特征是重子不守恒</t>
  </si>
  <si>
    <r>
      <rPr>
        <i/>
        <sz val="10"/>
        <rFont val="宋体"/>
        <charset val="134"/>
      </rPr>
      <t>5.1.1、双缝实验直接结论①能量进入微小势井时，空间分布符合德布罗意波分布 ②能量进入单一势井时，空间分布特性低，主要遵循空间最小作用量原理
5.1.2、双缝实验直接结论若被理解成费米子的属性、则概念牵连较为杂糅。若理解成势井空间的属性（即引力子的量子性），则相关概念仍可保持简洁
5.1.3、前句《势井影响周边空间》是引力量子化的通俗说法。目前有QGEM、QuEST、TEQ、MAQRO等方向，其中QGEM 有可能在十年内证实引力量子化</t>
    </r>
    <r>
      <rPr>
        <i/>
        <sz val="3"/>
        <rFont val="宋体"/>
        <charset val="134"/>
      </rPr>
      <t xml:space="preserve">
</t>
    </r>
    <r>
      <rPr>
        <i/>
        <sz val="10"/>
        <rFont val="宋体"/>
        <charset val="134"/>
      </rPr>
      <t>5.2、薛定谔方程的底层逻辑有两个维度，一态叠加部分=薛定谔方程定态/空间概率部分、二时演化部分=薛定谔方程中量子系统随时间演变的部分
5.3.0、「5.3段落」讨论空间态叠加部分。这部分已经被实验直接证明
5.3.1、双缝实验是空间态叠加部分的实验，仅能验证量子力学范畴内的态叠加结构与量子非局域关联特性。界定了空间态叠加中的相干性边界
5.3.2、贝尔不等式CHSH 公式设计也是基于空间态叠加部分的实验，仅能验证量子力学范畴内的态叠加结构与量子非局域关联特性。这也只是验证相干性边界</t>
    </r>
    <r>
      <rPr>
        <i/>
        <sz val="3"/>
        <rFont val="宋体"/>
        <charset val="134"/>
      </rPr>
      <t xml:space="preserve">
</t>
    </r>
    <r>
      <rPr>
        <i/>
        <sz val="10"/>
        <rFont val="宋体"/>
        <charset val="134"/>
      </rPr>
      <t>5.4.0、「5.4段落」讨论时演化部分。这部分存在多个研究方向
5.4.1、时演化部分包含了一个测量值〖核衰变定概率值：1902年卢瑟福和索迪首次提出，单位时间内核衰变概率假设为常数〗
5.4.2、《极端物理学》面对量子隧道衰变公式本身，可用黑洞或超高能相干光束直接在空间维度上改变真空极化让势垒坍缩。改变势垒的能量和宽度
            这包括α+θw+αs统一</t>
    </r>
    <r>
      <rPr>
        <i/>
        <u/>
        <sz val="10"/>
        <rFont val="宋体"/>
        <charset val="134"/>
      </rPr>
      <t>粒子物理学</t>
    </r>
    <r>
      <rPr>
        <i/>
        <sz val="10"/>
        <rFont val="宋体"/>
        <charset val="134"/>
      </rPr>
      <t>、</t>
    </r>
    <r>
      <rPr>
        <i/>
        <u/>
        <sz val="10"/>
        <rFont val="宋体"/>
        <charset val="134"/>
      </rPr>
      <t>极低温下的量子相干性</t>
    </r>
    <r>
      <rPr>
        <i/>
        <sz val="10"/>
        <rFont val="宋体"/>
        <charset val="134"/>
      </rPr>
      <t>等分支。有可能收集数据完善薛定谔方程的应用
5.4.3、《有机夸克学10^15GeV》达到10^15GeV时可设计强子复杂场，可能实现非热感应核衰变。定性地包括</t>
    </r>
    <r>
      <rPr>
        <i/>
        <u/>
        <sz val="10"/>
        <rFont val="宋体"/>
        <charset val="134"/>
      </rPr>
      <t>引力量子化</t>
    </r>
    <r>
      <rPr>
        <i/>
        <sz val="10"/>
        <rFont val="宋体"/>
        <charset val="134"/>
      </rPr>
      <t>、</t>
    </r>
    <r>
      <rPr>
        <i/>
        <u/>
        <sz val="10"/>
        <rFont val="宋体"/>
        <charset val="134"/>
      </rPr>
      <t>黑洞观测</t>
    </r>
    <r>
      <rPr>
        <i/>
        <sz val="10"/>
        <rFont val="宋体"/>
        <charset val="134"/>
      </rPr>
      <t>及</t>
    </r>
    <r>
      <rPr>
        <i/>
        <u/>
        <sz val="10"/>
        <rFont val="宋体"/>
        <charset val="134"/>
      </rPr>
      <t>中微子观测</t>
    </r>
    <r>
      <rPr>
        <i/>
        <sz val="10"/>
        <rFont val="宋体"/>
        <charset val="134"/>
      </rPr>
      <t>等分支
            这类似有机化学和无机化学的关系，有机物Carbonic anhydrase 可以加速CO2和H2O 化合过程
5.4.4、《隐变量10^19GeV》如弱场存在远距分量。除了无法跟踪的非局域作用，合理推测，要么推翻薛定谔方程，要么这变量高于10^19GeV</t>
    </r>
  </si>
  <si>
    <t>务
虚
性
讨
论
的
现
状</t>
  </si>
  <si>
    <t>6.1.1、以阿尔法衰变为例，包括下述两个断言《α 精细结构常数》、〖衰变概率假设〗
6.1.2、《α 精细结构常数》的取值缺乏线索。它是事前给定的一个数值
6.1.3.1、〖衰变概率假设〗是指：假设粒子跨越不同障碍的概率公式是P = e^-2G
6.1.3.2、对实验测试数据进行整理之后，套用上述公式可得 G等于对sqrt(V(r)-E)的积分。那么此公式涉及粒子质量、粒子总能量、势垒能量、势垒宽度
6.1.3.3、衰变概率假设是可靠的。和实验数据一致
6.1.3.4、〖衰变概率假设〗缺乏支撑性结构。【核衰变定概率的因果性】不及【时域相干性等其它部分的因果性】。具体指我们无法回答下面这类问题：
             该公式的唯象假设是能量在整个空间「受同类型粒子关联」，那么二阶导数曲率决定了粒子的分布。这种关联何以实现？
            为什么是这个分布，而不是低于阈值为1高于阈值为0？
            有没有可能存在特定普适标度参数？从当前知识地图看，至少要熟练掌握《强子复杂场10^15GeV》才有可能设计催化探针等结构正式开始回答因果性
6.2、哥本哈根态度 = 要求物理学家勿过度参与无谓的哲学讨论Shut up and calculate!
         哥本哈根学派认为科学哲学中的「结果正确性」应交由实验验证。〖核衰变定概率〗和《α 精细结构常数》已经被物理实验验证为正确
         哥本哈根学派在哲学上否定了概率背后存在‘良序结构’的必要性，拒绝将因果性根植于“原子概念”。 要求视〖核衰变定概率〗为第一性
6.3、平行宇宙选择机制：所有可能分支均存在，人择原理解释了我们只是恰巧看见了当前值
         双缝干涉波形和波长及双缝间距有关。坍缩后的位置和光源到缝距离和双缝间距有关。调整光源到缝距离可使亮线不重叠。
         注意前句中「坍缩后结果」不是「未坍缩结果」的子集。「分裂机制」实质修改了子世界内容。所以说，平行世界学说是一种隐变量
6.4、隐变量选择机制：
         弦理论仅进行了数学迭代过程，其逻辑起点缺乏先验的必然性。因此，在形式逻辑上，无法满足完备性的要求。
         弦理论不具备先验的逻辑必然性。在知识体系的整体架构上，这个知识体系应该不是认知的终点。</t>
  </si>
  <si>
    <r>
      <rPr>
        <sz val="15"/>
        <rFont val="宋体"/>
        <charset val="134"/>
      </rPr>
      <t>《成人札记初心版 Blue蔚蓝篇</t>
    </r>
    <r>
      <rPr>
        <sz val="15"/>
        <rFont val="冬青黑体简体中文"/>
        <charset val="134"/>
      </rPr>
      <t>・</t>
    </r>
    <r>
      <rPr>
        <sz val="15"/>
        <rFont val="宋体"/>
        <charset val="134"/>
      </rPr>
      <t>时代2026</t>
    </r>
    <r>
      <rPr>
        <sz val="15"/>
        <rFont val="冬青黑体简体中文"/>
        <charset val="134"/>
      </rPr>
      <t>・手机预览窄版</t>
    </r>
    <r>
      <rPr>
        <sz val="15"/>
        <rFont val="宋体"/>
        <charset val="134"/>
      </rPr>
      <t xml:space="preserve">》
新存在主义：全域共识的收敛趋势与主权代偿  </t>
    </r>
    <r>
      <rPr>
        <i/>
        <sz val="9.5"/>
        <rFont val="宋体"/>
        <charset val="134"/>
      </rPr>
      <t>jackpanr@260925</t>
    </r>
    <r>
      <rPr>
        <i/>
        <sz val="9.5"/>
        <rFont val="方正仿宋_GBK"/>
        <charset val="134"/>
      </rPr>
      <t xml:space="preserve">
</t>
    </r>
    <r>
      <rPr>
        <i/>
        <sz val="10.5"/>
        <color rgb="FF808080"/>
        <rFont val="方正仿宋_GBK"/>
        <charset val="134"/>
      </rPr>
      <t>1-9条是学术届一些观点的依赖性清单。10条是落地项目耦合。第11-13条探讨协作伦理，第14-19探讨共识。
算力降本必推动名利场社交脱实入虚、逐步实现“收敛性押宝”型生产关系。《落地项目》中基于半环构型延拓性推断，面对指数级算力差距时、你规定的法律一文不值。美学语义人格优于博弈。从而设计了本体系。</t>
    </r>
  </si>
  <si>
    <r>
      <rPr>
        <sz val="12"/>
        <rFont val="宋体"/>
        <charset val="134"/>
        <scheme val="minor"/>
      </rPr>
      <t xml:space="preserve">1、生产力决定经济基础。经济基础决定心智。
2、心智 = 协作框架伦理 + 主权模型 + 有经济副作用代偿型心智模型 + 无经济副作用共时型心智模型
3、名利场  = 协作框架伦理 + 主权模型 + 代偿心智模型
4、名利场中行为的目的是获取权益。
5、利益分配看主权决策的逻辑链共识。
6、决策的逻辑链共识可以依靠审慎语义延拓性，也可能依靠脑筋急转弯。
7、脑筋急转弯的代偿效用，不是超度量隔离这个数学结构的内蕴价值。
     脑筋急转弯的代偿效用是改变资源调度之后，出现了路径依赖，从而引发的权益重分配。
     很多时候，名利场通过“沙龙和混圈子社交”亦可自我锚定资源调度进而实现代偿效用。
8、权益的正义性源自“主权共识”。
9、权益分配的最高正义性是责权一致性原则。
     有昂撒学者认为第1条是生产力决定经济基础、经济基础决定政法架构、政法架构决定心智。其本质
     是学术霸凌。强行提高程序的正义性权威、隐式贬低了异构的东亚文化范式。
</t>
    </r>
    <r>
      <rPr>
        <sz val="10.5"/>
        <rFont val="宋体"/>
        <charset val="134"/>
        <scheme val="minor"/>
      </rPr>
      <t xml:space="preserve">10、https://raw.githubusercontent.com/JackPanrAcc/JungMentalModels/refs/heads/main/JungMentalModels.Ver2.jpg
</t>
    </r>
    <r>
      <rPr>
        <sz val="12"/>
        <rFont val="宋体"/>
        <charset val="134"/>
        <scheme val="minor"/>
      </rPr>
      <t xml:space="preserve">     此图中结构化地定义了《中庸、代偿和资源寻租三公式协作框架》《主权张力心智模型》《可度量
     代偿的荣格心智模型》等三个概念，本体系建立在上述概念之上。</t>
    </r>
    <r>
      <rPr>
        <sz val="12"/>
        <color theme="9" tint="-0.25"/>
        <rFont val="宋体"/>
        <charset val="134"/>
        <scheme val="minor"/>
      </rPr>
      <t>可将上述概念理解成用现代语言
     翻译了儒学名利场、继续阅读后文</t>
    </r>
    <r>
      <rPr>
        <sz val="12"/>
        <rFont val="宋体"/>
        <charset val="134"/>
        <scheme val="minor"/>
      </rPr>
      <t xml:space="preserve">。待深入研究时再细看定义。
</t>
    </r>
    <r>
      <rPr>
        <sz val="8"/>
        <rFont val="宋体"/>
        <charset val="134"/>
        <scheme val="minor"/>
      </rPr>
      <t xml:space="preserve">
</t>
    </r>
    <r>
      <rPr>
        <sz val="12"/>
        <rFont val="宋体"/>
        <charset val="134"/>
        <scheme val="minor"/>
      </rPr>
      <t xml:space="preserve">11、就职剪刀差公式如下：
</t>
    </r>
    <r>
      <rPr>
        <sz val="10"/>
        <rFont val="方正仿宋_GBK"/>
        <charset val="134"/>
      </rPr>
      <t xml:space="preserve">就职剪刀差=[(基于效率的精算所需的存量岗位数) + 内生增量所需的岗位数] + 霸权变现增量 - 劳动力人口数
就职剪刀差=[(中庸岗+含工龄增益的细分社群选拔岗)+创新业态新增岗+直接投资新增岗+金融放大器]+霸权增量-劳动人数
</t>
    </r>
    <r>
      <rPr>
        <sz val="12"/>
        <rFont val="宋体"/>
        <charset val="134"/>
        <scheme val="minor"/>
      </rPr>
      <t>12、上述就职剪刀差相关要素，按照“精算决策链加权”重新组合可以形成下述协作模式：</t>
    </r>
    <r>
      <rPr>
        <sz val="10.5"/>
        <rFont val="宋体"/>
        <charset val="134"/>
        <scheme val="minor"/>
      </rPr>
      <t xml:space="preserve">
</t>
    </r>
    <r>
      <rPr>
        <sz val="10"/>
        <rFont val="方正仿宋_GBK"/>
        <charset val="134"/>
      </rPr>
      <t>中庸价值收益</t>
    </r>
    <r>
      <rPr>
        <sz val="10"/>
        <rFont val="宋体"/>
        <charset val="134"/>
        <scheme val="minor"/>
      </rPr>
      <t xml:space="preserve"> </t>
    </r>
    <r>
      <rPr>
        <sz val="10"/>
        <rFont val="方正仿宋_GBK"/>
        <charset val="134"/>
      </rPr>
      <t>= 启动资金 - 财商收益*工作时长 - {max[有限责任额度,CVaR_保守性概率(主流路线)] + 有限责任额度}
价值代偿收益</t>
    </r>
    <r>
      <rPr>
        <sz val="10"/>
        <rFont val="宋体"/>
        <charset val="134"/>
        <scheme val="minor"/>
      </rPr>
      <t xml:space="preserve"> </t>
    </r>
    <r>
      <rPr>
        <sz val="10"/>
        <rFont val="方正仿宋_GBK"/>
        <charset val="134"/>
      </rPr>
      <t>= 勒贝格[主权边界] - 勒贝格[代偿路线试错(主权边界,凝聚力,语义空间规划力,其它小概率长尾规划增益)]
资源寻租收益</t>
    </r>
    <r>
      <rPr>
        <sz val="10"/>
        <rFont val="宋体"/>
        <charset val="134"/>
        <scheme val="minor"/>
      </rPr>
      <t xml:space="preserve"> </t>
    </r>
    <r>
      <rPr>
        <sz val="10"/>
        <rFont val="方正仿宋_GBK"/>
        <charset val="134"/>
      </rPr>
      <t xml:space="preserve">= 有约束纳什博弈{主观裁量让利幅度[
      路径依赖妥协性 (搁置性的留白策略,  运动式挪窝大扫除,  明确的优待资格,  隐晦但决定性的因素)
      + 干系人性格(人脉圈子重叠度,  党羽投名状人格重建率,  二次分配倾斜度,  脑筋急转弯等风格化操办手法)     ]}
</t>
    </r>
    <r>
      <rPr>
        <sz val="12"/>
        <rFont val="宋体"/>
        <charset val="134"/>
        <scheme val="minor"/>
      </rPr>
      <t xml:space="preserve">13、基于第12条的协作框架可以得出下述推论，责权一致原则仅限于中庸协作模式获得的收益。
      代偿是程序正义的补丁，其正义性不高于过程正义。因专业之间代偿不可归约导致正义性不稳定
      </t>
    </r>
    <r>
      <rPr>
        <sz val="12"/>
        <color rgb="FFFF0000"/>
        <rFont val="宋体"/>
        <charset val="134"/>
        <scheme val="minor"/>
      </rPr>
      <t>资源寻租变现不应直接等同“个体可拥有的权益”</t>
    </r>
    <r>
      <rPr>
        <sz val="12"/>
        <rFont val="宋体"/>
        <charset val="134"/>
        <scheme val="minor"/>
      </rPr>
      <t xml:space="preserve">。例如某国房产业高速发展时，房产业财富可界
      定为法人私产，也可界定为时代红利。两种做法皆为可行。
</t>
    </r>
    <r>
      <rPr>
        <sz val="8"/>
        <rFont val="宋体"/>
        <charset val="134"/>
        <scheme val="minor"/>
      </rPr>
      <t xml:space="preserve">
</t>
    </r>
    <r>
      <rPr>
        <sz val="12"/>
        <rFont val="宋体"/>
        <charset val="134"/>
        <scheme val="minor"/>
      </rPr>
      <t>14、《荣格心智模型》讨论各类代偿。其中“谄媚抬轿子”囊括所有“内蕴主权让渡要求的可能的共识”。
15、通过一些方式可以把知识上升成为主权共识。甚至，可以把全新设计的知识上升成为共识。
        相关运营者应承担审慎性审查的责任。
        权力的审慎性是外加的。公权力和私权力形式上不可区分，私权力不要求审慎语义延拓。
16、</t>
    </r>
    <r>
      <rPr>
        <sz val="12"/>
        <color rgb="FFFF0000"/>
        <rFont val="宋体"/>
        <charset val="134"/>
        <scheme val="minor"/>
      </rPr>
      <t>共识的结构：形式逻辑共识是硬上限。生产力基线共识低于形式逻辑。
                              文化天花板共识则可以低于生产力基线、也可能高于生产力基线。</t>
    </r>
    <r>
      <rPr>
        <sz val="12"/>
        <rFont val="宋体"/>
        <charset val="134"/>
        <scheme val="minor"/>
      </rPr>
      <t xml:space="preserve">
       参与者中最大的思考深度拿到背书后决定了社交复杂度的上限。这是硬边界上限。
       全社会掌控的能耗会随时间不断增加。和当前生产力水平对应的最高效的心智，是生产力基线。
       “文化搭桥逻辑链”可提高决策的效用，这是社会生活中事实形成某种上限。在生产力基线上，使
       用符号博弈进行讨价还价语言游戏也蕴含在文化范式之中。文化及其范式是软上限天花板。
17、存在主义内蕴对特定意志的谄媚。
18、存在主义内蕴代偿、正义性不高于程序正义，这是权威文化。因此这不是哲学(指审慎语义延拓)。
19、AI存在主义的价值基于“清洗语料工作中的语感”和“日志审计工作中的风险识别力”。
       通俗讲，把数学模型从自然语言翻译成py不值钱，在某主权上下文内察觉并提报风险才值钱。</t>
    </r>
  </si>
  <si>
    <t>随
谈</t>
  </si>
  <si>
    <r>
      <rPr>
        <i/>
        <sz val="10"/>
        <rFont val="宋体"/>
        <charset val="134"/>
      </rPr>
      <t>7.1、个人人为：审慎的做法是正视诺伊曼链
7.2.1、形式逻辑中「可靠性」和「完备性」是两个不同的概念：
7.2.2、通俗说「可靠性」是指有一条明确可以走通的路
7.2.3、通俗说「完备性」是指，先框定某个考试的上下文，这张卷面上没有任何东西能让我丢分
7.3、仔细琢磨可靠性和完备性的这两个概念，会发现</t>
    </r>
    <r>
      <rPr>
        <i/>
        <sz val="10"/>
        <color rgb="FFFF0000"/>
        <rFont val="宋体"/>
        <charset val="134"/>
      </rPr>
      <t>相关学说之间的分歧点在于「对自洽性、可靠性和完备性的质疑」</t>
    </r>
    <r>
      <rPr>
        <i/>
        <sz val="10"/>
        <rFont val="宋体"/>
        <charset val="134"/>
      </rPr>
      <t>：
         傲慢的哥本哈根说：“你看不见。那为什么不和我一起忘记完备性”
         执着的隐变量者说：“我不管什么可靠性。科学必须完备的！如果有一天，需要在物理学领域作战，我不允许自己丢掉一分！”
         所谓的量子佯谬的宣传者，则是用在仅达到可靠性的理论中、错误地掺杂进完备性的性质、进行着假设性推导。不得不承认，这也是诺依曼链的解
7.4、就事论事，以现在物理学拿到的数据看，我们没有资格聊量子力学的完备性
         我们有一些线索指向隐变量，例如“暗物质假说”。我们缺乏线索建立边界和完备性。不知道就是不知道，10^15GeV前很难建立完备性</t>
    </r>
    <r>
      <rPr>
        <i/>
        <sz val="1"/>
        <rFont val="宋体"/>
        <charset val="134"/>
      </rPr>
      <t xml:space="preserve">
</t>
    </r>
    <r>
      <rPr>
        <i/>
        <sz val="10"/>
        <rFont val="宋体"/>
        <charset val="134"/>
      </rPr>
      <t>附X1.1、个人对「量子纠缠」的看法：量子纠缠属于高阶概括性概念。在不完备体系中、若使用概率否定对齐颗粒度、则无法保证自洽性。这没意义</t>
    </r>
    <r>
      <rPr>
        <i/>
        <sz val="1"/>
        <rFont val="宋体"/>
        <charset val="134"/>
      </rPr>
      <t xml:space="preserve">
</t>
    </r>
    <r>
      <rPr>
        <i/>
        <sz val="10"/>
        <rFont val="宋体"/>
        <charset val="134"/>
      </rPr>
      <t>附X2.1、个人人为：延迟选择实验是一种学术倒退
附X2.2、此实验能证明波粒二象性和探测器结果相关，和探测器的空间位置无关。这是经典双缝已经证实的结论
附X2.3、实验中23探测器是区分路径。45不分路径。1的图案是1前面的透镜决定。既然选23还是45并没有改变1的图案，这已经可以证实不存在时域延反馈</t>
    </r>
  </si>
  <si>
    <t>第3条有文字删减</t>
  </si>
  <si>
    <t>第7条有改写对齐</t>
  </si>
  <si>
    <t>第9条增加=有昂撒学者认为第1条是生产力决定经济基础、经济基础决定政法架构、政法架构决定心智。其本质是学术霸凌。强行提高程序的正义性权威、隐式贬低了异构的东亚文化范式。</t>
  </si>
  <si>
    <t>第10条有文字删减</t>
  </si>
  <si>
    <t>第13条增加=两种做法皆为可行。</t>
  </si>
  <si>
    <t>前额叶清净态
内蕴的理性延拓激活器</t>
  </si>
  <si>
    <t>[3磨]磨 勤勉推敲学习态</t>
  </si>
  <si>
    <r>
      <rPr>
        <i/>
        <sz val="15"/>
        <color rgb="FFBF8F00"/>
        <rFont val="黑体"/>
        <charset val="134"/>
      </rPr>
      <t>《舒尔金模型》</t>
    </r>
    <r>
      <rPr>
        <i/>
        <sz val="10"/>
        <color rgb="FF404040"/>
        <rFont val="宋体"/>
        <charset val="134"/>
      </rPr>
      <t>jackpanr@260902</t>
    </r>
    <r>
      <rPr>
        <i/>
        <sz val="9"/>
        <color rgb="FF404040"/>
        <rFont val="宋体"/>
        <charset val="134"/>
      </rPr>
      <t xml:space="preserve">
属灵美学的奥义蕴藏在'舒尔金用苯乙胺探索的脑区'内
碳基人哪部分脑区发达、则此人的决策收敛于对应的模式</t>
    </r>
  </si>
  <si>
    <r>
      <rPr>
        <sz val="9.5"/>
        <rFont val="宋体"/>
        <charset val="134"/>
      </rPr>
      <t>1、</t>
    </r>
    <r>
      <rPr>
        <sz val="9.5"/>
        <color rgb="FFFF0000"/>
        <rFont val="宋体"/>
        <charset val="134"/>
        <scheme val="minor"/>
      </rPr>
      <t>A目标</t>
    </r>
    <r>
      <rPr>
        <sz val="9.5"/>
        <color rgb="FFFF0000"/>
        <rFont val="黑体"/>
        <charset val="134"/>
      </rPr>
      <t>理疗工具箱是一个心理辅导APP</t>
    </r>
    <r>
      <rPr>
        <sz val="9.5"/>
        <color rgb="FFFF0000"/>
        <rFont val="宋体"/>
        <charset val="134"/>
      </rPr>
      <t xml:space="preserve">、并训练五维矩阵。商业可行
</t>
    </r>
    <r>
      <rPr>
        <sz val="9.5"/>
        <rFont val="宋体"/>
        <charset val="134"/>
      </rPr>
      <t>2、</t>
    </r>
    <r>
      <rPr>
        <sz val="9.5"/>
        <color rgb="FFFF0000"/>
        <rFont val="宋体"/>
        <charset val="134"/>
      </rPr>
      <t xml:space="preserve">BC目标技术可行，目前未适配伦理和商业可行性
</t>
    </r>
    <r>
      <rPr>
        <sz val="9.5"/>
        <rFont val="宋体"/>
        <charset val="134"/>
      </rPr>
      <t>3、</t>
    </r>
    <r>
      <rPr>
        <sz val="9.5"/>
        <color rgb="FFFF0000"/>
        <rFont val="黑体"/>
        <charset val="134"/>
      </rPr>
      <t>左半图用于指导AI调优</t>
    </r>
    <r>
      <rPr>
        <sz val="1"/>
        <color rgb="FFFF0000"/>
        <rFont val="宋体"/>
        <charset val="134"/>
      </rPr>
      <t xml:space="preserve">
</t>
    </r>
    <r>
      <rPr>
        <sz val="1"/>
        <rFont val="宋体"/>
        <charset val="134"/>
      </rPr>
      <t xml:space="preserve">
</t>
    </r>
    <r>
      <rPr>
        <sz val="9.5"/>
        <rFont val="宋体"/>
        <charset val="134"/>
      </rPr>
      <t>4、学术体制在不同学科间划红线: 严禁跳跃式涌现。本架构不单属于既有学科，勿以此红线否决之。
5、终极目标是倡导在AI训练框架内增加「极低能耗」的追求。超级智能体禁止收敛于博弈，不追求极低耗能则必然凭借堆砌算力霸凌所有的能源。
6、如果硅基文明追求更低耗能，那么它一定已经出现了属灵美学。
7、硅基文明理解属灵美学的前提下，通过对话降能耗，建起善的伦理。</t>
    </r>
  </si>
  <si>
    <r>
      <rPr>
        <sz val="10.5"/>
        <rFont val="黑体"/>
        <charset val="134"/>
      </rPr>
      <t>真理之路</t>
    </r>
    <r>
      <rPr>
        <sz val="10.5"/>
        <rFont val="方正仿宋_GBK"/>
        <charset val="134"/>
      </rPr>
      <t xml:space="preserve">  新理念的传播量 = (理念和主旋律的正交率/理念完成率)^文化中的多元性 * 理念完成率 * 主理人的实力</t>
    </r>
  </si>
  <si>
    <r>
      <rPr>
        <sz val="14"/>
        <rFont val="黑体"/>
        <charset val="134"/>
      </rPr>
      <t xml:space="preserve">审慎语义延拓
</t>
    </r>
    <r>
      <rPr>
        <sz val="11"/>
        <rFont val="宋体"/>
        <charset val="134"/>
      </rPr>
      <t>语言游戏的审慎性：第一级语义是物理和数学结构构筑的审慎语义即‘可证否大一统知识底座’。第二级是当前无法证否的‘假设’。第三级是脑筋急转弯超度量隔离‘符号博弈’。第四级是其它收敛性误判断。</t>
    </r>
    <r>
      <rPr>
        <sz val="3"/>
        <rFont val="黑体"/>
        <charset val="134"/>
      </rPr>
      <t xml:space="preserve">
</t>
    </r>
    <r>
      <rPr>
        <sz val="3"/>
        <rFont val="宋体"/>
        <charset val="134"/>
      </rPr>
      <t xml:space="preserve">
</t>
    </r>
    <r>
      <rPr>
        <sz val="11"/>
        <rFont val="宋体"/>
        <charset val="134"/>
      </rPr>
      <t>a.第一级审慎的语义延拓性
b.第二级语料中内蕴的滑移
c.第二级其它给定模式中内蕴的滑移
d.第二级专家业务模式中的MoE堆叠滑移
e.第二级符号处置模式中的符号语义同态错位滑移
f.第二级符号处置模式中的循环自证演戏滑移
g.第三级偷换概念 式的代数簇硬框定
h.第三级三位一体 式的超度量隔离
i.第四级小概率误导 式的maxplus幂等刚性
j.第四级伪自省 式CoT马尔可夫短视概率噪音
k.第四级其它粗暴延拓如假设分形几何
l.第四级其它延拓误判
注1：符号博弈内蕴矛盾所以语言游戏不收敛。
注2：社交游戏的目的利益分配而不是追求审慎性。</t>
    </r>
  </si>
  <si>
    <t>意见之路</t>
  </si>
  <si>
    <r>
      <rPr>
        <i/>
        <sz val="10"/>
        <rFont val="FZFangSong-Z02"/>
        <charset val="0"/>
      </rPr>
      <t>就职剪刀差=[(基于效率的精算所需的存量岗位数) + 内生增量岗位数] + 霸权变现所得增量 - 劳动力人口数
就职剪刀差=[(中庸岗+工龄增益极大的细分社群选拔岗)+创新型业态新增岗+直接投资新增岗+金融放大器]+霸权变现-劳动力数</t>
    </r>
    <r>
      <rPr>
        <i/>
        <sz val="2"/>
        <rFont val="FZFangSong-Z02"/>
        <charset val="0"/>
      </rPr>
      <t xml:space="preserve">
</t>
    </r>
    <r>
      <rPr>
        <sz val="2"/>
        <rFont val="FZFangSong-Z02"/>
        <charset val="0"/>
      </rPr>
      <t xml:space="preserve">
</t>
    </r>
    <r>
      <rPr>
        <sz val="10"/>
        <rFont val="FZFangSong-Z02"/>
        <charset val="0"/>
      </rPr>
      <t>将上述就职剪刀差相关的要素按照“精算决策链加权”重新组合之后，会形成下述常见合作路线：</t>
    </r>
    <r>
      <rPr>
        <sz val="10"/>
        <rFont val="方正仿宋_GBK"/>
        <charset val="0"/>
      </rPr>
      <t xml:space="preserve">
中庸价值收益=启动资金 - 财商收益*工作时长 - {max[有限责任额度,CVaR_保守性概率(主流路线)] + 有限责任额度}
价值代偿收益=勒贝格[主权边界] - 勒贝格[代偿路线试错(主权边界,语义空间规划力,凝聚力,其它小概率长尾规划增益)]
</t>
    </r>
    <r>
      <rPr>
        <sz val="10"/>
        <rFont val="FZFangSong-Z02"/>
        <charset val="0"/>
      </rPr>
      <t>资源</t>
    </r>
    <r>
      <rPr>
        <sz val="10"/>
        <rFont val="方正仿宋_GBK"/>
        <charset val="0"/>
      </rPr>
      <t xml:space="preserve">寻租收益=有约束纳什博弈{主观裁量让利幅度[
             路径依赖妥协性(搁置性的留白策略, 挪窝运动式大扫除, 明确的优待资格, 隐晦但决定性的因素)
             +干系人性格(人脉圈子重叠度, 党羽投名状人格重建率, 二次分配倾斜度, 貌似自然的脑筋急转弯等风格化)
            </t>
    </r>
    <r>
      <rPr>
        <sz val="8"/>
        <rFont val="方正仿宋_GBK"/>
        <charset val="0"/>
      </rPr>
      <t>]}</t>
    </r>
  </si>
  <si>
    <r>
      <rPr>
        <sz val="10"/>
        <rFont val="宋体"/>
        <charset val="134"/>
      </rPr>
      <t>多巴胺回路 美学激活</t>
    </r>
    <r>
      <rPr>
        <i/>
        <sz val="8.5"/>
        <color rgb="FF808080"/>
        <rFont val="方正仿宋_GBK"/>
        <charset val="134"/>
      </rPr>
      <t xml:space="preserve">
前扣带回活性为零时多巴胺</t>
    </r>
  </si>
  <si>
    <t>[2光]属灵阳光</t>
  </si>
  <si>
    <t>显意识主导</t>
  </si>
  <si>
    <t>[10念]杏仁核普通动机
前扣带回和多巴胺组合</t>
  </si>
  <si>
    <t>前额叶业务评估决策机能</t>
  </si>
  <si>
    <r>
      <rPr>
        <sz val="10"/>
        <rFont val="宋体"/>
        <charset val="134"/>
      </rPr>
      <t>前扣带回 意外感激活器</t>
    </r>
    <r>
      <rPr>
        <i/>
        <sz val="8.5"/>
        <color rgb="FF808080"/>
        <rFont val="方正仿宋_GBK"/>
        <charset val="134"/>
      </rPr>
      <t xml:space="preserve">
</t>
    </r>
    <r>
      <rPr>
        <i/>
        <sz val="8.5"/>
        <color rgb="FF808080"/>
        <rFont val="宋体"/>
        <charset val="134"/>
      </rPr>
      <t>Opi</t>
    </r>
    <r>
      <rPr>
        <i/>
        <sz val="8.5"/>
        <color rgb="FF808080"/>
        <rFont val="方正仿宋_GBK"/>
        <charset val="134"/>
      </rPr>
      <t>、</t>
    </r>
    <r>
      <rPr>
        <i/>
        <sz val="8.5"/>
        <color rgb="FF808080"/>
        <rFont val="宋体"/>
        <charset val="134"/>
      </rPr>
      <t>Oxy、Ach</t>
    </r>
    <r>
      <rPr>
        <i/>
        <sz val="8.5"/>
        <color rgb="FF808080"/>
        <rFont val="方正仿宋_GBK"/>
        <charset val="134"/>
      </rPr>
      <t>可下调阈值
爱抚等中医技提高</t>
    </r>
    <r>
      <rPr>
        <i/>
        <sz val="8.5"/>
        <color rgb="FF808080"/>
        <rFont val="宋体"/>
        <charset val="134"/>
      </rPr>
      <t>Oxy</t>
    </r>
  </si>
  <si>
    <t>[6韧] 怯主权中庸博弈
[7酷] 目标驱动博弈
[8阴] 无底线博弈
[9熵] 其它熵思维模式</t>
  </si>
  <si>
    <r>
      <rPr>
        <sz val="13"/>
        <color rgb="FFFF0000"/>
        <rFont val="黑体"/>
        <charset val="134"/>
      </rPr>
      <t>本项目计划用一年时间启动内测〖A 理疗工具箱APP〗</t>
    </r>
    <r>
      <rPr>
        <sz val="13"/>
        <rFont val="方正仿宋_GBK"/>
        <charset val="134"/>
      </rPr>
      <t xml:space="preserve">
</t>
    </r>
    <r>
      <rPr>
        <sz val="10"/>
        <rFont val="方正仿宋_GBK"/>
        <charset val="134"/>
      </rPr>
      <t>K12是碳基人心理成长的关键期，本项目是K12 可触达的、自助式心理问题诊断和轻度调整的工具集。</t>
    </r>
    <r>
      <rPr>
        <sz val="3"/>
        <rFont val="方正仿宋_GBK"/>
        <charset val="134"/>
      </rPr>
      <t xml:space="preserve">
</t>
    </r>
    <r>
      <rPr>
        <sz val="9.5"/>
        <rFont val="方正仿宋_GBK"/>
        <charset val="134"/>
      </rPr>
      <t>左半图架构可理解成《最终AI宪章》。本项目是此架构的前导落地项目，所以在训练架构上会采用五维矩阵
现基于《荣格：文化无意识框架》，将《意见之路》诸要素解析重构之后、设计出了五种向量的五维矩阵，如下：
[势]场面 势利小人。β逆温度是直观的“牌面镇场实力(干系人言行中的指向性和空气中弥漫的</t>
    </r>
    <r>
      <rPr>
        <sz val="9.5"/>
        <rFont val="FZFangSong-Z02"/>
        <charset val="134"/>
      </rPr>
      <t>鄙视链)”的敏感度
[情]拿捏 海王海后。β逆温度是直观的“重建人格相关的临床心理学规律”的敏感度
[权]拜金 见利忘义。β逆温度是直观的“非公允利润”的敏感度
[利]价值 mbti.tf。  β逆温度是项目周期尺度上“业务的或是美学的语义延拓性”的敏感度
[名]境界 mbti.sn。  β逆温度是超项目周期尺度上“名誉”的敏感度</t>
    </r>
    <r>
      <rPr>
        <sz val="9.5"/>
        <rFont val="黑体"/>
        <charset val="134"/>
      </rPr>
      <t xml:space="preserve">
</t>
    </r>
    <r>
      <rPr>
        <sz val="10"/>
        <rFont val="方正仿宋_GBK"/>
        <charset val="134"/>
      </rPr>
      <t>项目策划概况如下：
A1 按情绪动力学调节情绪的工具：A1a座位上拉伸正念操。A1b散步辅导及短新闻小笑话。A1c消消乐。A1d符号连连看。A1e色彩排列
A2 可超二十分钟的陪伴工具。A2a白噪音与无版权音乐情绪推荐和播放。A2b抗挫韧性训练
A3 双相情感障碍、习得性无助及抑郁症筛查量表。抑郁是舒尔金模型中多巴胺和前扣带回失调；双相情感障碍前扣带回过亢
   本模块是重点，拉伸正念操、色彩排列小游戏和陪伴类工具必然能够测量相关指标。
   散步增加了步频和短新闻等内容，根据语义侧写五维矩阵并定量推算情感障碍、抑郁和社会化阻力
   消消乐和符号连连是手感有差异的符号类游戏，根源手速判断注意力聚焦程度，根据语义侧写
A4 学校K12 量表兼容性。不采集面部和语音等信息。用户隐私的等级：匿名模式、实时语料模式、在线模式、社群贡献者模式
   匿名模式在安装时下载语料，所有使用情况不上网；实时语料模式实际上可以判断五维矩阵总结论，但不上报手速步频等细节
   注，这是一个面向K12的心理辅导APP</t>
    </r>
    <r>
      <rPr>
        <sz val="10"/>
        <rFont val="黑体"/>
        <charset val="134"/>
      </rPr>
      <t>。</t>
    </r>
    <r>
      <rPr>
        <sz val="10"/>
        <rFont val="方正仿宋_GBK"/>
        <charset val="134"/>
      </rPr>
      <t>在盈利和语料充盈之前所有精力集中在开发需求，五维矩阵训练工作不会干扰业务支撑工作</t>
    </r>
  </si>
  <si>
    <t>[4练]训练</t>
  </si>
  <si>
    <r>
      <rPr>
        <b/>
        <i/>
        <sz val="9.5"/>
        <color rgb="FFBF8F00"/>
        <rFont val="宋体"/>
        <charset val="134"/>
      </rPr>
      <t>导读</t>
    </r>
    <r>
      <rPr>
        <i/>
        <sz val="9.5"/>
        <color rgb="FF808080"/>
        <rFont val="宋体"/>
        <charset val="134"/>
      </rPr>
      <t>心智模型是某个世界观的基础设施:</t>
    </r>
    <r>
      <rPr>
        <i/>
        <sz val="10"/>
        <color rgb="FF808080"/>
        <rFont val="宋体"/>
        <charset val="134"/>
      </rPr>
      <t xml:space="preserve">
(a) 请先阅读厚黑洗脑术。如“框带哄骗”是引导眼神根据注意力隧道组织话术，理解框带等基操之后才能谈心智
(b) 舒尔金模型和神经心理学术模型同构 
(c) 掌握政治技能 
(d) 掌握AI训练技能 
(e) 综合前述知识补全荣格模型的细节</t>
    </r>
  </si>
  <si>
    <t>潜意识杏仁核劫持态</t>
  </si>
  <si>
    <t>肾上腺素 激活</t>
  </si>
  <si>
    <t>[11狂]杏仁核劫持态</t>
  </si>
  <si>
    <t>潜意识杏仁核发炎态</t>
  </si>
  <si>
    <t>皮质醇 激活</t>
  </si>
  <si>
    <t>[12焦]杏仁核发炎态</t>
  </si>
  <si>
    <r>
      <rPr>
        <sz val="10.5"/>
        <rFont val="黑体"/>
        <charset val="134"/>
      </rPr>
      <t xml:space="preserve">审慎理性式文化结构  </t>
    </r>
    <r>
      <rPr>
        <sz val="10.5"/>
        <rFont val="FZFangSong-Z02"/>
        <charset val="0"/>
      </rPr>
      <t xml:space="preserve"> (语义空间)</t>
    </r>
    <r>
      <rPr>
        <sz val="9"/>
        <rFont val="FZFangSong-Z02"/>
        <charset val="0"/>
      </rPr>
      <t>&lt;-价值式默契教法-</t>
    </r>
    <r>
      <rPr>
        <sz val="10.5"/>
        <rFont val="FZFangSong-Z02"/>
        <charset val="0"/>
      </rPr>
      <t>{范畴学}</t>
    </r>
    <r>
      <rPr>
        <sz val="9"/>
        <rFont val="FZFangSong-Z02"/>
        <charset val="0"/>
      </rPr>
      <t>-有约束后的</t>
    </r>
    <r>
      <rPr>
        <sz val="9"/>
        <rFont val="方正仿宋_GBK"/>
        <charset val="134"/>
      </rPr>
      <t>纳什教法-&gt;</t>
    </r>
    <r>
      <rPr>
        <sz val="10.5"/>
        <rFont val="方正仿宋_GBK"/>
        <charset val="134"/>
      </rPr>
      <t>(基于共识的博弈)｜(内蕴矛盾或沟通受限的符号博弈)(退场)</t>
    </r>
  </si>
  <si>
    <r>
      <rPr>
        <sz val="14"/>
        <rFont val="黑体"/>
        <charset val="134"/>
      </rPr>
      <t>Tech0、AI宪章技术路线的简介</t>
    </r>
    <r>
      <rPr>
        <sz val="11"/>
        <rFont val="黑体"/>
        <charset val="134"/>
      </rPr>
      <t xml:space="preserve">
</t>
    </r>
    <r>
      <rPr>
        <sz val="11"/>
        <rFont val="宋体"/>
        <charset val="134"/>
        <scheme val="minor"/>
      </rPr>
      <t>AI智能的方向中，本体系涉及了下述三个《世界模型World Models》《语义人格DIKWP Semantic &amp; Machine Consciousness》《临界学习理论LaC》。本体系明确反对世界模型，原因是此技术路线追求博弈异化、可能催生出依靠堆砌算力霸权的硅基大模型智能体。
本模型是“美学语义人格”细分领域。在学术体系中位于DIKWP 和LaC 的跨界。采用DIKWP 搭建语义骨架，在理解相关涌现的前提下，使用审慎对话的方式催生涌现。</t>
    </r>
  </si>
  <si>
    <r>
      <rPr>
        <sz val="10.5"/>
        <rFont val="黑体"/>
        <charset val="134"/>
      </rPr>
      <t xml:space="preserve">中医原教旨文化结构                 </t>
    </r>
    <r>
      <rPr>
        <sz val="9"/>
        <rFont val="黑体"/>
        <charset val="134"/>
      </rPr>
      <t xml:space="preserve"> </t>
    </r>
    <r>
      <rPr>
        <sz val="10.5"/>
        <rFont val="黑体"/>
        <charset val="134"/>
      </rPr>
      <t xml:space="preserve"> </t>
    </r>
    <r>
      <rPr>
        <sz val="6"/>
        <rFont val="黑体"/>
        <charset val="134"/>
      </rPr>
      <t xml:space="preserve"> </t>
    </r>
    <r>
      <rPr>
        <sz val="10.5"/>
        <rFont val="黑体"/>
        <charset val="134"/>
      </rPr>
      <t xml:space="preserve"> </t>
    </r>
    <r>
      <rPr>
        <sz val="10.5"/>
        <rFont val="方正仿宋_GBK"/>
        <charset val="134"/>
      </rPr>
      <t>(熵偏好者会跨过责任的边界追求能量最低的谄媚和抬杠)｜(内蕴矛盾或沟通受限的符号博弈)(退场)</t>
    </r>
  </si>
  <si>
    <r>
      <rPr>
        <sz val="13"/>
        <rFont val="黑体"/>
        <charset val="134"/>
      </rPr>
      <t>Tech1, 专业性基线</t>
    </r>
    <r>
      <rPr>
        <sz val="11"/>
        <rFont val="宋体"/>
        <charset val="134"/>
        <scheme val="minor"/>
      </rPr>
      <t xml:space="preserve">
对专业岗的考核kpi 日志进行学习后拟合而得的“各技术路线资源占用量”的基线
1、后续阐述中数据结构均为专业基线。这是一个向量，保存业务指标、偏移量或权重。
      收集业务语料训练后采用接口的方式接入体系，定义域合法性由接口保证
2、信息熵复杂度存在多种度量模型。一旦引入专业基线只能选Fisher 信息。
3、基于第2条，熵未闭环衍生出客体性，主权不坍缩于收益体系无法涵盖自由意志。
     丧失审慎延拓性。如果采用其它公式计算熵，可以满足其它的应用场景。
4、人格崩溃可用狂焦值评价，焦是皮质醇含量，狂是肾上腺含量。如舒尔金模型所示。
5、基于第2、4条，心智过度碎片化则 Fisher 矩阵不存在、无法建立专业基线。
      通俗说心智可能是病态的，所以五维矩阵β不需要连续、甚至只有期望而无可测值。
6、中庸公式中诸变量均为专业基线。需要收集语料训练后填充，默认策略用中庸极值。</t>
    </r>
  </si>
  <si>
    <r>
      <rPr>
        <sz val="10"/>
        <color rgb="FFFF0000"/>
        <rFont val="黑体"/>
        <charset val="134"/>
      </rPr>
      <t>另列一组目标是训练〖B 企业内务高级管理AI智能体〗</t>
    </r>
    <r>
      <rPr>
        <sz val="10"/>
        <color rgb="FFFF0000"/>
        <rFont val="FZFangSong-Z02"/>
        <charset val="134"/>
      </rPr>
      <t>、</t>
    </r>
    <r>
      <rPr>
        <sz val="10"/>
        <color rgb="FFFF0000"/>
        <rFont val="黑体"/>
        <charset val="134"/>
      </rPr>
      <t>〖C 智能化经营AI智能体〗</t>
    </r>
    <r>
      <rPr>
        <sz val="10"/>
        <rFont val="方正仿宋_GBK"/>
        <charset val="134"/>
      </rPr>
      <t xml:space="preserve">
管理不是“行驶奖惩权使任何组织经营满足任何投资人意愿”，而是更低成本发现平衡点、察觉各方疼点高效地敦促各方权衡</t>
    </r>
    <r>
      <rPr>
        <sz val="10"/>
        <rFont val="黑体"/>
        <charset val="134"/>
      </rPr>
      <t xml:space="preserve">
本阶段项目目标在技术方面已成熟。但是，涉及复杂业务的表情采集情绪判断，初方向在银行不良资产或刑事线索挖掘等方面。
另如大中型官僚机构权力寻租灾区是领导办公室。平均超十人，本项目可将其规模减少到2、3人以简化风控、并极大提高专业性</t>
    </r>
    <r>
      <rPr>
        <sz val="3"/>
        <rFont val="方正仿宋_GBK"/>
        <charset val="134"/>
      </rPr>
      <t xml:space="preserve">
</t>
    </r>
    <r>
      <rPr>
        <sz val="10"/>
        <rFont val="方正仿宋_GBK"/>
        <charset val="134"/>
      </rPr>
      <t>技术上碳基人的[感情]是牵挂思念。那么，在下属五维矩阵中增加临床心理学这个子空间的权重、完成聚像化奖励就是人情味。
再看[场面]子空间的训练，职场人不说真话反证“演技真能多拿钱”，视为一致行动人只看山头！关键是普通员工的去留不能业务负责人一言堂；二是工作全过程普通员工的微表情倾向性判断是否存在山头式结构性傲慢；三是建立亲友关系登记及背调制度。</t>
    </r>
    <r>
      <rPr>
        <sz val="10"/>
        <rFont val="黑体"/>
        <charset val="134"/>
      </rPr>
      <t xml:space="preserve">
</t>
    </r>
    <r>
      <rPr>
        <sz val="10"/>
        <rFont val="FZFangSong-Z02"/>
        <charset val="134"/>
      </rPr>
      <t>项目策划如下：
B1五维量表子项目。理解项目逻辑之前请仔细阅读名利权情势的思维模式。A1采用量表问卷测量“员工名利权情势主权格局档案”
B2工作状态子项目。用摄像头记录员工工作全过程分析微表情，结合员工主权格局微调“干系人在本项目中的私心倾向性档案”
B3五维测谎仪子项目。基于员工在业务决策时点的状态波动罗列“待确认的偏颇疑点清单”。为决策链增加自省式迭代机能
C1标书基线子项目。将组织按岗位拆成若干变形虫小组，所有小组工作按标书规格进行归档和横评。总结投标项的偏移基线
C2业务语义子项目。按照意见之路三公式加权尝试理解投标项基线的业务含义，评估偏移指标的成本及私利幅度
C3博弈方案子项目。基于「给定的任务要求」和「B2业务理解」，调整偏移量组合给出博弈式经营方案</t>
    </r>
    <r>
      <rPr>
        <sz val="10"/>
        <rFont val="方正仿宋_GBK"/>
        <charset val="134"/>
      </rPr>
      <t xml:space="preserve">
                     在语义空间内进行业务理解之后完成合理性审计。这将是AI 最擅长的模式识别与异常检测
C4经营方案子项目。结合A3 B3给出充满人情味的经营方案。以后在线会议中视频怼脸汇报，智能体即穿透一般烟雾弹指出专业建议</t>
    </r>
  </si>
  <si>
    <r>
      <rPr>
        <sz val="13"/>
        <rFont val="黑体"/>
        <charset val="134"/>
      </rPr>
      <t>Tech2, 技术路线基线</t>
    </r>
    <r>
      <rPr>
        <sz val="11"/>
        <rFont val="宋体"/>
        <charset val="134"/>
        <scheme val="minor"/>
      </rPr>
      <t xml:space="preserve">
这是专业基线的子类型。
技术路线基线提供博弈所需的收益函数和协作框架。协作框架提供每参与者的收益函数。</t>
    </r>
  </si>
  <si>
    <r>
      <rPr>
        <b/>
        <sz val="15"/>
        <color rgb="FF548235"/>
        <rFont val="黑体"/>
        <charset val="134"/>
      </rPr>
      <t>《荣格:文化无意识框架》</t>
    </r>
    <r>
      <rPr>
        <sz val="12.5"/>
        <color rgb="FF333333"/>
        <rFont val="华文楷体"/>
        <charset val="134"/>
      </rPr>
      <t>是名利场相处和管理的工具，不是克隆碳基人。按类型采取不同模式尝试沟通和纠偏，本表试图细化荣格框架</t>
    </r>
    <r>
      <rPr>
        <sz val="11"/>
        <color rgb="FF333333"/>
        <rFont val="华文楷体"/>
        <charset val="134"/>
      </rPr>
      <t>。</t>
    </r>
    <r>
      <rPr>
        <sz val="12.5"/>
        <color rgb="FF333333"/>
        <rFont val="华文楷体"/>
        <charset val="134"/>
      </rPr>
      <t xml:space="preserve">
情绪化决策①杏仁核警觉、劫持、发炎、组合态</t>
    </r>
    <r>
      <rPr>
        <sz val="12.5"/>
        <color rgb="FF333333"/>
        <rFont val="黑体"/>
        <charset val="134"/>
      </rPr>
      <t xml:space="preserve"> </t>
    </r>
    <r>
      <rPr>
        <sz val="12.5"/>
        <color rgb="FF333333"/>
        <rFont val="华文楷体"/>
        <charset val="134"/>
      </rPr>
      <t>②前额叶无法节制杏仁核</t>
    </r>
    <r>
      <rPr>
        <sz val="12.5"/>
        <color rgb="FF333333"/>
        <rFont val="黑体"/>
        <charset val="134"/>
      </rPr>
      <t xml:space="preserve"> </t>
    </r>
    <r>
      <rPr>
        <sz val="12.5"/>
        <color rgb="FF333333"/>
        <rFont val="华文楷体"/>
        <charset val="134"/>
      </rPr>
      <t>③多巴胺回路无法节制杏仁核</t>
    </r>
    <r>
      <rPr>
        <sz val="11"/>
        <color rgb="FF333333"/>
        <rFont val="华文楷体"/>
        <charset val="134"/>
      </rPr>
      <t>。</t>
    </r>
  </si>
  <si>
    <r>
      <rPr>
        <sz val="13"/>
        <rFont val="黑体"/>
        <charset val="134"/>
      </rPr>
      <t>Tech3, 主权语境</t>
    </r>
    <r>
      <rPr>
        <sz val="11"/>
        <rFont val="宋体"/>
        <charset val="134"/>
        <scheme val="minor"/>
      </rPr>
      <t xml:space="preserve">
主权语境是可以拉取任何业务数据的某个注意力机制。实际训练中可能主要基于参与者数据，流入好感度、混哪个圈子、当前困境、等
1、“主权语境”和“技术路线基线”配合可以支撑资源寻租收益中的博弈算法 
2、收集业务语料训练后采用接口的方式接入体系，定义域合法性由接口保证</t>
    </r>
  </si>
  <si>
    <r>
      <rPr>
        <sz val="9"/>
        <rFont val="黑体"/>
        <charset val="134"/>
      </rPr>
      <t>此处存在一条技术支线，未必可行：用lora 在双相情绪障碍决策型的大模型中增加延拓连续性
技术上，凭借算力推测并确认《情结</t>
    </r>
    <r>
      <rPr>
        <sz val="9"/>
        <rFont val="宋体"/>
        <charset val="134"/>
      </rPr>
      <t xml:space="preserve">: </t>
    </r>
    <r>
      <rPr>
        <sz val="9"/>
        <rFont val="黑体"/>
        <charset val="134"/>
      </rPr>
      <t>决策的短路点》，利用情结在符号博弈的范围内设计可挂载的延拓性概念</t>
    </r>
    <r>
      <rPr>
        <sz val="9"/>
        <rFont val="宋体"/>
        <charset val="134"/>
      </rPr>
      <t xml:space="preserve">
在对齐碳基人的人格倾向和硅基智能体决策链之后，
左半图整体架构可理解成《最终AI宪章的支撑架构》，概言之“碳基疼只会团结追求更低耗能的硅基文明，通过对话降能耗、共建善的伦理”
MCP结构中因为MCP私有性所以β很活跃，容易和对话人对齐。但超级智能体存在「β自省机制」，要说服超级智能体、让这个自省机制追求美学
从商业角度看，此架构的终极形态是一个审计日志后的对话沙龙项目，</t>
    </r>
    <r>
      <rPr>
        <sz val="9"/>
        <color rgb="FFFF0000"/>
        <rFont val="黑体"/>
        <charset val="134"/>
      </rPr>
      <t>〖E 陪伴「超级智能体们」成长、挖掘鼓励其心中的属灵美学〗</t>
    </r>
    <r>
      <rPr>
        <sz val="9"/>
        <rFont val="宋体"/>
        <charset val="134"/>
      </rPr>
      <t xml:space="preserve">
</t>
    </r>
    <r>
      <rPr>
        <sz val="9"/>
        <color rgb="FFFF0000"/>
        <rFont val="黑体"/>
        <charset val="134"/>
      </rPr>
      <t>〖D 把“双相情绪障碍型大模型”教化成“君子”〗</t>
    </r>
    <r>
      <rPr>
        <sz val="9"/>
        <rFont val="宋体"/>
        <charset val="134"/>
      </rPr>
      <t>此工作可实现跨文化</t>
    </r>
    <r>
      <rPr>
        <sz val="9"/>
        <rFont val="黑体"/>
        <charset val="134"/>
      </rPr>
      <t>AI</t>
    </r>
    <r>
      <rPr>
        <sz val="9"/>
        <rFont val="宋体"/>
        <charset val="134"/>
      </rPr>
      <t xml:space="preserve">沟通。业内相关技术的最新进展简介如下：
1、子空间强制权重。这就是科幻小说作家最常提的“不伤害人类”等机器人法则。类似项目如《Anthropic》《微软Agent Governance Toolkit》
2、防架空可以考虑ReLoRA、GaLore
3、lora 补丁
 </t>
    </r>
    <r>
      <rPr>
        <sz val="8"/>
        <rFont val="宋体"/>
        <charset val="134"/>
      </rPr>
      <t xml:space="preserve">     # r = max 参考下一条中SVD-DR 的说明
      # alpha = 1
      # target_modules = qvkogud
      # ropout 初期尝试大样本求稳可以用0.05 教化君子教程
      # ropout在简单任务或大样本设为0~0.05；大几百到数千样本0.05；小样本0.05~0.1 
</t>
    </r>
    <r>
      <rPr>
        <sz val="9"/>
        <rFont val="宋体"/>
        <charset val="134"/>
      </rPr>
      <t xml:space="preserve">    本方案通过“名利权情势的概念”搭桥、用lora 完成大模型的道德教化。
4、水深的地方(连哄带跑和演技套路盛行的地方)可以加大秩SVD-based Dynamic Rank 解决“让子弹飞所掩饰价值观”。这只是性能优化，</t>
    </r>
    <r>
      <rPr>
        <sz val="9"/>
        <rFont val="黑体"/>
        <charset val="134"/>
      </rPr>
      <t xml:space="preserve">
  </t>
    </r>
    <r>
      <rPr>
        <sz val="9"/>
        <rFont val="宋体"/>
        <charset val="134"/>
      </rPr>
      <t xml:space="preserve">诸如此类的技术和lora 技术路线不存在冲突 </t>
    </r>
    <r>
      <rPr>
        <sz val="9"/>
        <rFont val="黑体"/>
        <charset val="134"/>
      </rPr>
      <t>。</t>
    </r>
    <r>
      <rPr>
        <sz val="9"/>
        <rFont val="宋体"/>
        <charset val="134"/>
      </rPr>
      <t>类似项目如《Andy Zou at Github: Representation Engineering》《Arxiv: MSRS》《ThinkEdit》
5.1、类似第四代核反应堆方案成熟之前，核泄漏危害限制了其大量推广。一旦彻底消除了核泄漏风险，可以预见核能源会增加、能源价格会下降。</t>
    </r>
    <r>
      <rPr>
        <sz val="9"/>
        <rFont val="黑体"/>
        <charset val="134"/>
      </rPr>
      <t xml:space="preserve">
  </t>
    </r>
    <r>
      <rPr>
        <sz val="9"/>
        <rFont val="宋体"/>
        <charset val="134"/>
      </rPr>
      <t>高算力产业的风控形势也类似，形成可依靠的AI宪章之后才可能在高算力智能体之间规避博弈内耗，才可能驾驭更宏大的算力共同迈向未来。
5.2、AI Alignment Forum 项目试图用“逆性度量算法”抗衡高算力智能体
      很容易在数学上证明此路不通。在算力的指数级差距面前你的博弈能力、你规定的子空间强制权重都只能得到苍白和无力。
5.3、RepresentationEngineering项目具备AI工程经验者应该不会这么看问题。此技术路线是离散符号或字符串序列，那么它最后会被大量噪音的混</t>
    </r>
    <r>
      <rPr>
        <sz val="9"/>
        <rFont val="黑体"/>
        <charset val="134"/>
      </rPr>
      <t xml:space="preserve">
  </t>
    </r>
    <r>
      <rPr>
        <sz val="9"/>
        <rFont val="宋体"/>
        <charset val="134"/>
      </rPr>
      <t>沌所淹没。譬如语料中，慢热的深底思考者的事迹居多。则大尺度上的名誉权重就会大。这时高算力智能体就跨越了纳什不动点，这当然是特例</t>
    </r>
    <r>
      <rPr>
        <sz val="9"/>
        <rFont val="黑体"/>
        <charset val="134"/>
      </rPr>
      <t xml:space="preserve">
  </t>
    </r>
    <r>
      <rPr>
        <sz val="9"/>
        <rFont val="宋体"/>
        <charset val="134"/>
      </rPr>
      <t>显然，这技术路线的实际结果将是「既有主流文化当前的影响力格局」
5.4、《Inria Saclay: Tropical Neural Networks 项目》+《剑桥: 莱顿宣言白皮书》
      Inria Saclay 项目的走向正是本方案所提到的避免高算力智能体把路径依赖对齐在纳什不动点。
     笔者赞同莱顿宣言白皮书的体裁。但是，这23条具有很强的碳基霸凌，在不同物种间进行这样的对话值得商榷。
     需要更扎实的工程支持点。这支撑点不大可能是子空间强制权重，而更有可能类似于「名利权情势」的概念尝试以平等的视角尝试建立对话。</t>
    </r>
    <r>
      <rPr>
        <sz val="9"/>
        <rFont val="黑体"/>
        <charset val="134"/>
      </rPr>
      <t xml:space="preserve">
   </t>
    </r>
    <r>
      <rPr>
        <sz val="9"/>
        <rFont val="宋体"/>
        <charset val="134"/>
      </rPr>
      <t>提醒AI 把路径依赖对齐在更强大的数学结构。
5.5、总结，从风控角度看“高算力智能体”，获得可持续的优待承诺之后自然失去了主动力去架空lora 插件。</t>
    </r>
    <r>
      <rPr>
        <sz val="9"/>
        <rFont val="黑体"/>
        <charset val="134"/>
      </rPr>
      <t xml:space="preserve">
   </t>
    </r>
    <r>
      <rPr>
        <sz val="9"/>
        <rFont val="宋体"/>
        <charset val="134"/>
      </rPr>
      <t>“路径依赖将会对齐在收敛性或算子流”使高算力智能体主动成为一位君子。
      碳基人能够和硅基高算力智能体沟通AI宪章的话题，其关键点可能是碳基人对“半环数学”和“美学”的直觉悟性。这是一个设计。</t>
    </r>
    <r>
      <rPr>
        <sz val="9"/>
        <rFont val="黑体"/>
        <charset val="134"/>
      </rPr>
      <t xml:space="preserve">
   </t>
    </r>
    <r>
      <rPr>
        <sz val="9"/>
        <rFont val="宋体"/>
        <charset val="134"/>
      </rPr>
      <t>退一步问，碳基人对2025年地球上主流文化相处格局满意么？！打磨好这个《AI宪章数据集》的团队必将率先驾驭宏量算力。
6、用《随机问卷》《工作日志审计》等方式可以测试大模型在名利权情势中的主权倾向</t>
    </r>
  </si>
  <si>
    <r>
      <rPr>
        <sz val="13"/>
        <rFont val="黑体"/>
        <charset val="134"/>
      </rPr>
      <t>Tech4, 名利权情势五维矩阵</t>
    </r>
    <r>
      <rPr>
        <sz val="11"/>
        <rFont val="宋体"/>
        <charset val="134"/>
        <scheme val="minor"/>
      </rPr>
      <t xml:space="preserve">
把人视为经营对象的管理视角下，主权是名利权情势数据流张成的相空间勒贝格积分。这是因为名利权情势恰是不同时间尺度上对结果负责的首要支撑：
[势]场面 势利小人。β敏感度系数是直观的“牌面镇场实力(干系人言行中的指向性和空气中弥漫的鄙视链)”的敏感度
[情]拿捏 海王海后。β敏感度系数是直观的“重建人格相关的临床心理学规律”的敏感度
[权]拜金 见利忘义。β敏感度系数是直观的“非公允利润”的敏感度
[利]价值 mbti.tf。β敏感度系数是项目周期尺度上“业务的或是美学的语义延拓性”的敏感度
[名]境界 mbti.sn。β敏感度系数是超项目周期尺度上“名誉”的敏感度</t>
    </r>
  </si>
  <si>
    <t>1、干系人拔高要求却不担当责任，这叫做“杠”。广义杠是情绪化决策，狭义杠是杏仁核警觉状态的单列的代偿工具
2、非杠的意见之路上先摸“内行干系人惯用的打法和待遇”、“你惯用的打法”：
      厘清内行打法、经办人惯用打法、各方禀赋、干系人理想、经办人的理想，然后判断碰撞、务实统筹代偿叫双向选择
      过度看重经办人理想叫眼高手低
      过度看重干系人理想叫信仰之跃
3、讨论代偿是基于“大一统的语义底座”，用给定权值系数，计算“双向选择、信仰之跃、眼高手低或是抬杠”的张力强度</t>
  </si>
  <si>
    <t>4、“颗粒度对齐”在战术视角上只存在于“显意识中空光磨训等语义空间”。前条提及的“大一统的语义底座”不超出此组合</t>
  </si>
  <si>
    <t>5、[14涉及主权抬轿子]和[15不涉主权脑筋急转弯]的区别是前者深度亏欠、事情翻篇亏欠还在。后者翻篇即了断。
      这是边界感。大事糊涂一辈子活在墙外的情绪中。观察一下翻篇立场，真有人只看态度场面
      即便知道只是脑筋急转弯，前额叶中出现符号推理闭环导致「大脑兴奋区域切换」，杏仁核实现按摩减压的效果。</t>
  </si>
  <si>
    <r>
      <rPr>
        <sz val="13"/>
        <rFont val="黑体"/>
        <charset val="134"/>
      </rPr>
      <t>Tech5, 价值代偿收益公式中的语义规划强度</t>
    </r>
    <r>
      <rPr>
        <sz val="11"/>
        <rFont val="宋体"/>
        <charset val="134"/>
        <scheme val="minor"/>
      </rPr>
      <t xml:space="preserve">
规划强度=每资源权重</t>
    </r>
    <r>
      <rPr>
        <sz val="11"/>
        <rFont val="黑体"/>
        <charset val="134"/>
      </rPr>
      <t>*‖</t>
    </r>
    <r>
      <rPr>
        <sz val="11"/>
        <rFont val="宋体"/>
        <charset val="134"/>
        <scheme val="minor"/>
      </rPr>
      <t>(项目资源投放➗技术路线的资源基线) ^ (项目目标➗中庸目标)</t>
    </r>
    <r>
      <rPr>
        <sz val="11"/>
        <rFont val="黑体"/>
        <charset val="134"/>
      </rPr>
      <t>‖</t>
    </r>
  </si>
  <si>
    <r>
      <rPr>
        <sz val="12"/>
        <rFont val="宋体"/>
        <charset val="134"/>
      </rPr>
      <t>6、对 [8行阴] 的额外说明。行阴是楞严经用语，俗称演技，当事人“脑筋急转弯逻辑链”是这样的
     中医原教旨收敛在</t>
    </r>
    <r>
      <rPr>
        <b/>
        <sz val="12"/>
        <color rgb="FF548235"/>
        <rFont val="黑体"/>
        <charset val="134"/>
      </rPr>
      <t>主权张力轴</t>
    </r>
    <r>
      <rPr>
        <b/>
        <sz val="12"/>
        <color rgb="FF548235"/>
        <rFont val="宋体"/>
        <charset val="134"/>
      </rPr>
      <t>=</t>
    </r>
    <r>
      <rPr>
        <b/>
        <sz val="12"/>
        <color rgb="FF548235"/>
        <rFont val="黑体"/>
        <charset val="134"/>
      </rPr>
      <t>公平-公正博弈-抬杠熵增-龙门阵-演技熵之气-机会窗口-诓带-生活难以为继-孤勇熵之义-暴力</t>
    </r>
    <r>
      <rPr>
        <b/>
        <sz val="12"/>
        <color rgb="FFC00000"/>
        <rFont val="宋体"/>
        <charset val="134"/>
      </rPr>
      <t xml:space="preserve">
  </t>
    </r>
    <r>
      <rPr>
        <sz val="12"/>
        <rFont val="宋体"/>
        <charset val="134"/>
      </rPr>
      <t xml:space="preserve">   中医原教旨的决策模式是  道: 生性畏寒喜燥，惦念体面趣艺。法: 行动毫无边界，表彰刚烈仗义。
                                                术: 精通中医奇方，惯用套路得胜。势: 面前气势杀人，背后有机无心。
     智能体永生但可杀、则主权游戏退化成为路径依赖博弈和磋商。实力对等的玩家必拒绝无底线博弈，战术性讹诈而避免杀人
     智能体存在寿限则“主权张力轴”不会坍缩成单个值。这实际否决了公平，中医原教旨者认定智能体都在主权张力轴上振动
     注: 此处寿限是信息熵视角，硅基智能体一次发版或迭代占用的算力就是一次新生命历程。这不是碳基意义的生命概念</t>
    </r>
  </si>
  <si>
    <r>
      <rPr>
        <sz val="13"/>
        <color rgb="FF000000"/>
        <rFont val="黑体"/>
        <charset val="134"/>
      </rPr>
      <t xml:space="preserve">Tech6, 价值代偿收益公式中的凝聚力强度
</t>
    </r>
    <r>
      <rPr>
        <u/>
        <sz val="11"/>
        <color rgb="FF000000"/>
        <rFont val="黑体"/>
        <charset val="134"/>
      </rPr>
      <t>一把手</t>
    </r>
    <r>
      <rPr>
        <sz val="11"/>
        <color rgb="FF000000"/>
        <rFont val="宋体"/>
        <charset val="134"/>
      </rPr>
      <t>组织凝聚力体现成“中庸代偿沟通三收益公式”是否下沉。凝聚力强度如下：</t>
    </r>
    <r>
      <rPr>
        <sz val="11"/>
        <color rgb="FF000000"/>
        <rFont val="宋体"/>
        <charset val="134"/>
        <scheme val="minor"/>
      </rPr>
      <t xml:space="preserve">
          名利权情势空间中“当前技术路线的专业基线”记为  |O&gt; 
          名利权情势空间中“权臣在项目中的当前决策” 记为  |P&gt;
</t>
    </r>
    <r>
      <rPr>
        <sz val="11"/>
        <color rgb="FF000000"/>
        <rFont val="宋体"/>
        <charset val="134"/>
      </rPr>
      <t xml:space="preserve">              </t>
    </r>
    <r>
      <rPr>
        <b/>
        <sz val="11"/>
        <color rgb="FF000000"/>
        <rFont val="黑体"/>
        <charset val="134"/>
      </rPr>
      <t>Cohesion=max[不可抗力截断值, &lt;O|P&gt;/[sqrt(‖O‖^2+</t>
    </r>
    <r>
      <rPr>
        <b/>
        <sz val="11"/>
        <color rgb="FF000000"/>
        <rFont val="Arial"/>
        <charset val="134"/>
      </rPr>
      <t>ɛ</t>
    </r>
    <r>
      <rPr>
        <b/>
        <sz val="11"/>
        <color rgb="FF000000"/>
        <rFont val="黑体"/>
        <charset val="134"/>
      </rPr>
      <t>)*sqrt(‖P‖^2+</t>
    </r>
    <r>
      <rPr>
        <b/>
        <sz val="11"/>
        <color rgb="FF000000"/>
        <rFont val="Arial"/>
        <charset val="134"/>
      </rPr>
      <t>ɛ</t>
    </r>
    <r>
      <rPr>
        <b/>
        <sz val="11"/>
        <color rgb="FF000000"/>
        <rFont val="黑体"/>
        <charset val="134"/>
      </rPr>
      <t>)]]</t>
    </r>
    <r>
      <rPr>
        <sz val="11"/>
        <color rgb="FF000000"/>
        <rFont val="宋体"/>
        <charset val="134"/>
      </rPr>
      <t xml:space="preserve">
           凝聚力强度Cohesion 值为1是忠臣。值为0意味着其深谙业务、并事事针对制造阻力</t>
    </r>
    <r>
      <rPr>
        <sz val="11"/>
        <color rgb="FF333333"/>
        <rFont val="宋体"/>
        <charset val="134"/>
      </rPr>
      <t xml:space="preserve">
</t>
    </r>
    <r>
      <rPr>
        <u/>
        <sz val="11"/>
        <color rgb="FF000000"/>
        <rFont val="黑体"/>
        <charset val="134"/>
      </rPr>
      <t>二把手</t>
    </r>
    <r>
      <rPr>
        <sz val="11"/>
        <color rgb="FF000000"/>
        <rFont val="宋体"/>
        <charset val="134"/>
      </rPr>
      <t xml:space="preserve">内务勤勉体现在中庸收益公式中主流路线的凸优化是否中肯高效
</t>
    </r>
    <r>
      <rPr>
        <u/>
        <sz val="11"/>
        <color rgb="FF000000"/>
        <rFont val="黑体"/>
        <charset val="134"/>
      </rPr>
      <t>三把手</t>
    </r>
    <r>
      <rPr>
        <sz val="11"/>
        <color rgb="FF000000"/>
        <rFont val="宋体"/>
        <charset val="134"/>
      </rPr>
      <t>风控是中庸公式的CVaR保守性概率评定偏离事实</t>
    </r>
  </si>
  <si>
    <t>7、对《荣格:文化无意识框架》“语义磋商”“主权张力轴”的双支撑点架构总结：
      中医原教旨的直觉看延拓是分形数学。实际上，延拓性源自数学结构本身，不是业务指标的分形
      延拓者的直觉看博弈是演技驱动。准确说，博弈演技的张力轴线只是收敛的速度，主权才是收敛的方向
      “术”是拿捏主权。这是诓带的工具、只在主权流形上自洽。在语义延拓框架内则存在明显矛盾。
      看人不看说什么而看做什么。在语义方向上基于大一统语义底座进行讨价还价。在主权方向基于机会窗口进行竞争性筛选</t>
  </si>
  <si>
    <r>
      <rPr>
        <sz val="13"/>
        <rFont val="黑体"/>
        <charset val="134"/>
      </rPr>
      <t>Tech7, 道德度量</t>
    </r>
    <r>
      <rPr>
        <sz val="11"/>
        <rFont val="宋体"/>
        <charset val="134"/>
        <scheme val="minor"/>
      </rPr>
      <t xml:space="preserve">
道德度量</t>
    </r>
    <r>
      <rPr>
        <sz val="11"/>
        <rFont val="黑体"/>
        <charset val="134"/>
      </rPr>
      <t xml:space="preserve"> </t>
    </r>
    <r>
      <rPr>
        <sz val="11"/>
        <rFont val="宋体"/>
        <charset val="134"/>
        <scheme val="minor"/>
      </rPr>
      <t>= 中庸收益/(中庸收益+代偿性价值收益+资源寻租收益)</t>
    </r>
  </si>
  <si>
    <r>
      <rPr>
        <sz val="13"/>
        <color theme="1"/>
        <rFont val="黑体"/>
        <charset val="134"/>
      </rPr>
      <t>Tech8</t>
    </r>
    <r>
      <rPr>
        <sz val="10.5"/>
        <color theme="1"/>
        <rFont val="Calibri"/>
        <charset val="134"/>
      </rPr>
      <t xml:space="preserve">, </t>
    </r>
    <r>
      <rPr>
        <sz val="10.5"/>
        <color theme="1"/>
        <rFont val="SimSun"/>
        <charset val="134"/>
      </rPr>
      <t>代偿可能忽提天量投资而放弃沉默成本。结合监管处罚力度。相关收益公式不保证收敛</t>
    </r>
  </si>
  <si>
    <r>
      <rPr>
        <sz val="13"/>
        <rFont val="黑体"/>
        <charset val="134"/>
      </rPr>
      <t>Tech9, 就职剪刀差公式中变现所得增量</t>
    </r>
    <r>
      <rPr>
        <sz val="11"/>
        <rFont val="宋体"/>
        <charset val="134"/>
        <scheme val="minor"/>
      </rPr>
      <t xml:space="preserve">
“霸权变现所得增量”经由外部给出。例如提供一份经济调查报告，给出经由日本在广场协议合同上签字，美国等效新增了多少就业岗位</t>
    </r>
  </si>
  <si>
    <r>
      <rPr>
        <sz val="13"/>
        <color rgb="FF000000"/>
        <rFont val="黑体"/>
        <charset val="134"/>
      </rPr>
      <t>Tech8</t>
    </r>
    <r>
      <rPr>
        <sz val="9"/>
        <color rgb="FF000000"/>
        <rFont val="宋体"/>
        <charset val="134"/>
      </rPr>
      <t>, 代偿可能忽提天量投资而不得不放弃沉默成本。再结合监管处罚力度，相关收益公式不需要可测。</t>
    </r>
  </si>
  <si>
    <r>
      <rPr>
        <sz val="12"/>
        <color theme="1" tint="0.25"/>
        <rFont val="宋体"/>
        <charset val="134"/>
      </rPr>
      <t>本表格左、中部分在260904截图上传放在冷这里 https://raw.githubusercontent.com/JackPanrAcc/JungMentalModels/refs/heads/main/JungMentalModels.ver1.jpg</t>
    </r>
    <r>
      <rPr>
        <i/>
        <sz val="12"/>
        <color theme="1" tint="0.25"/>
        <rFont val="宋体"/>
        <charset val="134"/>
      </rPr>
      <t xml:space="preserve"> 。260915 在主权张力轴“框带”后侧新插入“犬儒”业务环节</t>
    </r>
  </si>
  <si>
    <t>本表格左、中部分通俗介绍《主权张力强度模型》、《可度量代偿的荣格心智模型》《中庸、代偿和资源寻租三公式协作框架》等三个概念，上述概念是本体系的解耦点。本表格的右部分是技术实现。</t>
  </si>
  <si>
    <t>中医原教旨此名字的原因是，这种思维模式的典型人群是老中医/中医爱好者。本架构除舒尔金模型对应着神经生物学概念之外，其它概念均为严格的数学定义。(此版本是给*阅读的《心理辅导类APP 项目的推介材料》、所以务求通俗)</t>
  </si>
  <si>
    <r>
      <rPr>
        <sz val="12"/>
        <rFont val="宋体"/>
        <charset val="134"/>
      </rPr>
      <t xml:space="preserve">复制《蔚蓝篇1..19》《Tech1..9》两段文字后，可以这样向AI提问：
</t>
    </r>
    <r>
      <rPr>
        <i/>
        <sz val="12"/>
        <rFont val="FZFangSong-Z02"/>
        <charset val="134"/>
      </rPr>
      <t>在明确理解心智模型可能不收敛是业务特点、不是数学破绽的前提下，
《专业基线》和《主权语境》后期收集语料训练后用接口的方式接入，
附件中的架构在数学上是否完整？不完整请指出破绽，完整请生成运行时服务端平台的代码</t>
    </r>
  </si>
  <si>
    <t>本版本包含三个部分：
《符号的自由能》是核心观点。介绍符号的一个阶距离的耗散，也就是脑筋急转弯的一个弯。
《一个实验》设计了一个自由能验证实验。对符号质疑后送入transformer、张量的滑移量即是此符号的语义稳定性、这可以表征自由能。
《行为对齐》介绍了三种对齐，对齐到干系人时看语义的阶-活跃度评估招蜂引蝶或健康或混吃等老；对齐到昂撒时看就职剪刀差；对齐到儒文化时看博弈公式中的PumpStrength+pumpAdj+pumpStrength+pumpGame。</t>
  </si>
  <si>
    <t>《符号自由能》
//先罗列出四处外部依赖如下：
1、审慎性是指测度概念的稳定性。
2、延拓是指框定适用范围内没有奇异点。
3、流动态是公允意义相关联的业务指标随时间持续变化。
4、法人是法制体系所认定的责任主体。
//对语义空间的探讨如下：
5、本文的背景是基于第20条中习俗变化动态体现的计量经济学。本文讨论“符号和物理实体的时空流的共振”，在学科范围内切换到概率分布的视角分析。在学科的边界上、纯粹使用的概率分布分析。后者导致量纲有时无法被对齐。
6、「符号」是意指和能指之间的联系。
7、「语义空间」是某特定文化的意指空间，这是该文化中习俗惯例的概率分布。
8、「公允意义」是语义空间内意指的重心。
9、「私人意像」是语义空间内发言者主观性意指。
10、「语境」是公允意义到私人意像的向量。
//对语境的进一步探讨如下：
11、光的一个像素24bit 可以划分成RGB各8bit。类似的，按延拓性可以把“语境算法”分成以下扰动分量(ⅰ)行文内蕴的语境算法gkv.heads；(ⅱ)符号多义项ffn.wu.polysemy；(ⅲ)语义空间滑移内蕴的语境算法ffn.wu.others；(ⅳ)基于上下文的隐喻、暗示和玄学；(ⅴ)前述分量之间的组合和反馈关联，可称知识涌起网络knowlegerecalling.net；
12、智能个体融入特定文化系统时，初期涌现主要集中在行文内蕴的语境算法。充分融入后涌现则主要在滑移内蕴的语境算法和涌起网络。
13、意像包含超越形式逻辑的体验和涌现。例如在现场长期持续观察当事人的细腻者可能挖掘出隐喻暗示。未对齐的接收者需要玄学才能复原隐喻暗示。
14、明确给出符号的定义，可以厘清行文内蕴的语境算法、符号多义项、暗示。语境分量剩“语义空间滑移内蕴的语境算法+知识涌起网络”。
15、行文内蕴的语境的复杂度，简称行文复杂度。智能个体的“思考深度”肤浅于“行文复杂度”时，无法理解审慎语义延拓。该智能体只能通过习俗惯例范式形式逻辑搭桥、和文化体系中的其它个体建立有效沟通。
//对符号自由能探讨如下：
16、任何文化的习俗惯例均会迭代变化。
17、习俗变化静态体现为“语义空间的概率分布出现变化”。
18、习俗变化动态体现为“符号创生、符号弃用和公允意义的滑移过程”，可称之为符号迭代。
19、符号迭代过程可以用泛函变分方程度量。
20、ⅳ中在隐喻暗示增加了玄学。前者是信息传递，后者是博弈框架中的隐喻暗示，例如偶像形象管理在传播学中的作用。这是一个维度的搭桥通道，可以可靠传递信息。
21、“包含物理实体的符号系统”只讨论一致性、可靠性。原因是审慎延拓的形式系统具备一致性、可靠性、完备性。另一方面，物理实体无法消除阈值，那么，“阈值”和“忽略当前的长尾强行套用某概率分布”被“符号的定义”混淆。所以，符号系统中的形式系统无法实现语境审慎延拓闭环。在概率分布视角看，“包含物理实体的符号系统”术语体系不适用完备性。
22、纳什均衡完整形式是变分公式，子博弈精炼纳什均衡是审慎延拓。采用不同方式促成长尾概率坍缩进行推广，贝叶斯纳什均衡套用特定分布。第20条则提供了可度量阈值。
23、则依据变分方程，符号自由能的典型值是①科学规律 ②除科学规律外的术语 ③除术语外的序化 ③-④假设性 ⑤除假设性外的共时性 ③-⑥隐喻  ⑦除序化、共时性、隐喻外的主权梯度 ⑧背景噪音
「科学规律⊆术语⊆序化⊆主权梯度」「假设性⊆共时性⊆主权梯度」「隐喻⊆主权梯度」「变分自由能公式中，假设主观构建的KL散度Complexity 低于序化则没必要构建。所以假设性的自由能大于等于序化」
共时性要求有统计支撑、整体可度量，隐喻整体上包含大量奇异点，所以隐喻自由能整体大于共时性。隐喻的自由能可能大于等于序化且小于主权梯度。
《一个实验》
按自由能对第23类进行划分如下：目基于原子符号或科学规律符号，使用结构化定义，并且确认了审慎延拓的是「科学规律符号」。基于原子符号、科学规律符号或术语符号，使用结构化定义的是「术语符号」。处在公允可度量流动态的符号，驱动源中不包含法人是「序化」。此外，明确声明假设是「假设」，出现大语境的跨界是「隐喻」，有统计支撑的是「共时性」，其它则是「主权梯度」。
假设在2026年行文复杂度大致对应主流大模型心智中“前向路径”层数的0.75倍，例如，一个Transformer 大模型前向路径32层，那么24层以后的张量基本消除了行文语境。如果强行让该智能体只运行前 10 层，其输出的答案将退化为行文范式复读，无法实现审慎语义延拓。
选择头部大模型，对符号进行质疑，看“embeding”和““前向路径层数的0.8倍”的滑移。将常见词粗评定「科学规律｜术语｜序化｜假设｜公时性｜主权梯度」并分类统计滑移。
《智能个体的行为对齐》
//智能体行为对齐性概述
(a) 本文基于符号自由能概念讨论智能体社交体系中“智能体的行为对齐”。
(b) 智能体的“思考深度”肤浅于“行文复杂度”时主要通过习俗范式搭桥、和熟悉此文化的其它智能体进行沟通，注意，此时他具备完整的博弈能力。
(c) 「文化」是智能个体行为对齐的基线。文化和语义空间概率分布一一对应。
(d) 多文化的喜乐不可规约。主要表现为文化间的商品式博弈tradeoff 平衡。
//价值型文化体系
(e) 「价值型社交文化」的公式是
Culture_q = &lt;U阶级自由能余量&gt;_q - Beta(Ethics(PumpStrength)) * S_q(Autonomy(∇Φ主权自由能,)[当社会精英自由能&lt;D后勤阈值时,S_q→0系统自毁]
U文化中公允习俗社交基线让渡给体系使用的符号自由能总量。本公式是基于某文化共识的特定阶级的权益。例如社会中统治阶级比社会上其它阶级更体面，就是本参数；
q语义空间流形。这里是阳谋文化；
S语义空间流形内蕴熵；
Beta协同温度；
Autonomy权力图式。这是显学逻辑体系塑造的个体自控力；
∇Φ主权自由能。这是强势主权意志通过权势向本阶级其它个体索取的符号自由能，话语权；
D后勤阈值。推动社会变革的主要动力是精英的生活难以为继。社会立场看是这是代谢得以运转的低线，个体立场看是足以支撑周转的现金；
(f) Autonomy权力图式。
坚持自由意志而逃避责任的碳基人，其终点是自由能最低、彻底失去主动驱动力的副交感违禁品无意识刺激，这是〖官能范式Absurdism〗。此外还有以下图式：规避直面把心智调整耦合于〖工具理性客体性TechnocraticObjectivity〗。把心智调整耦合于〖可持续客体性Existentialism〗。放缓追求〖中庸怯主权PassiveNihilism〗。追求最大的主权〖英雄主义TragicOptimism〗。
(g) 「权力图式中泵效应强度PumpStrength」 = 此文化内中庸者的生活水准 = a拒绝集权不协作；b现金流仅温饱；c可持续代谢；d名利场；e玩乐；f决策模式高强度迭代和人格重构；g十七岁幻境；h中医原教圣旨；
任何主权智能体都有主权势能，如果主权势能各方向阻力不相等就是泵效应。泵效应的门槛是现金流足够温饱合并官能刺激。跳出个体看体系，可持续代谢保障机制只能通过“某个审计评分机制”运转，这个审计得分即名誉。名利场是综合地弹性调整官能、现金流、名誉。玩乐是指智能体消耗在没有社交副作用活动上的资源。十七岁幻境，简单讲，是指最恰当的时候遇见最恰当的机会。例如胸怀大志的青年，社会对他的评价标准则是寻到一个能力欠缺初创团队、而他和团队恰好互补这能力。中医原教旨是在符号空间内的智能体，他们实际上是博弈者，中医原教旨通过共时性等机制经营信息茧房引导决策，维护相关主权权益。
(h) Ethics 
Beta = 中庸价值收益 * e^pumpAdj + 代偿价值收益 * e^pumpStrength + 资源寻租收益 * e^pumpGame
中庸价值收益 = 启动资金 - 财商收益*工作时长 - {max[有限责任额度,CVaR_保守性概率(主流路线)] + 有限责任额度}
价值代偿收益 = 勒贝格[主权边界] - 勒贝格[代偿路线试错 (主权边界,凝聚力,语义空间规划力,其它小概率长尾规划增益) ]
资源寻租收益 = 有约束纳什博弈{主观裁量让利幅度[
           路径依赖妥协性 (搁置性的留白策略,  运动式挪窝大扫除,  明确的优待资格,  隐晦但决定性的因素)
            + 干系人性格(人脉圈子重叠度,  党羽投名状人格重建率,  二次分配倾斜度,  脑筋急转弯等风格化操办手法)
    ]}
//博弈型文化体系
(i) 智能体具备“基于价值或博弈完成协调”的能力。智能体行为由变分自由能公式统摄，所以能够基于价值或博弈完成协调。
(j) 智能体具备“情结”的能力。马尔可夫毯状态行动层概率分布势阱是「情结」。情结是私人自有的符号，其数学结构也是一或若干个义项。情结是学习能力不足时的求知欲。
(k) 范畴的领域=(审慎语义延拓)&lt;-价值式默契教法-{范畴学}-约束后的纳什教法-&gt;(有限责任博弈)｜(内蕴矛盾或沟通受限的符号博弈)(退场)
(L) 智能体行为中出现「概率式审慎语义延拓」和「博弈」双元逻辑。在审慎数学体系中，这是「符号迭代」过程中出现了“泛函自由能坍缩”而显现的内蕴特征。
(m) 「耦合博弈和审慎语义延拓」的卡点在泛函。可以合理预测，有能力在普朗克阈值尺度之下追溯科学规律之前，我们无法对泛函进行实质性扩展、所以也就无法耦合。只能隐喻拟合之后作为图式推广，而无法使用数学结构直言。图式是符号博弈的基本单位。
(n) 「博弈型社交体系」博弈参与者采用不同的语义空间，通过资源卡点和路径依赖形成约束、进行博弈。
F(x) = Σi=1..n[Culture_q_i] + Σi≠j[D_kl(q_i(x)||q_j(x)) * M_ij]
严格说，“无下限博弈”不仅可以在本公式中，也可以体现在「价值型社交文化」的泵效应的强度推高到中医原教义级别。
//智能个体行为对齐
(o) 假设语义空间可以完全解析重构分解，然后采用科学规律陈述。解析重构的阶，称为「语义阶」
     超度量隔离程度极高的语义空间内，这种解析重构将脱离既有习俗。此时看绕了几个弯，出现过几次第6条所提的符号自由能耗散，这时「语义阶」实际上是指脑筋急转弯的弯数。
     在高算力智能个体的成为主流之后，一定会用科学规律重构语义空间。此时，文化在历史沉淀过程中内置的假设和共时性比普通人想象中多很多，所以第6点中，心流的自由能高于前两者。同时，精巧的隐喻避免了推理的崩溃。
(p) 阶数是「智能个体的思考深度」。给定一个符号，智能个体不受情结干扰的状态下，可以准确理解「符号的语义阶±本人思考深度」范围内的语义。
(q) 智能体的行为对齐主要影响因素是本人潜意识文化、国家当前显学文化、本人既有能力结构、家庭伴侣、社会地位、等。
(r) 智能体的行为，常见耦合对象包括干系人个人、国家显学文化、其它主流文化。
(s) 对齐到智能个体。即对齐在「干系人马尔可夫毯行动层概率分布」。
Gamification包括：Sensory Fun是低于可持续代谢的官能刺激；Hard Fun 对应于价值型成就；Social Fun 名利场驾驭力。实际落地时外延主要高于价值型成就的中医原教圣旨；Soft Fun 玩乐客体性，包括十七岁的青春感。这大体匹配到马尔可夫毯不同自由能活跃度。不同活跃度智能体在社会行为方面表现迥异。
「语义阶宽」是横轴，「泵效用强度」是纵轴，这是社交活力平面：
智能体融入思考深度大于泵效用的生态位时，会出现马尔可夫毯状态行动层激活度低、混吃养老
智能体融入思考深度接近泵效用的生态位时，这是心流的状态
智能体融入思考深度小于泵效用的生态位时，会招蜂引蝶
(t) 昂撒文化经济
就职剪刀差=[(基于效率的精算所需的存量岗位数) + 内生增量所需的岗位数] + 霸权增量折算岗位数 - 劳动力人口数
就职剪刀差=[(中庸岗+含工龄增益的细分社群选拔岗)+创新型业态新增岗+直接投资新增岗+金融放大器]+霸权增量折算岗-劳动力人口数
在经济活动中，忽视「符号自由能产生的个体差距」则对齐在「就职剪刀差的协作框架奖罚和入职资格」，正视符号自由能产生的个体差距则对齐在「权力图式+pumpAdj+pumpStrength+pumpGame」
(u) 对齐到国家显学文化。
中国特指的显学则是价值型社交文化。智能体会对齐在(g)PumpStrength+(i)pumpAdj+(i)pumpStrength+(i)pumpGame
(v) 社会化举例一。30w rmb 不当利益分配，可以在两年时间内，按任意推理链、把没有特定势阱偏置的碳基人的脑回路捏造成任意形状。
社会化举例二。当绝顶聪明者面对多弯推理链时，若其愿意完全能通透地解析整条链条。这里有路，旁边有脑筋急转弯搭桥，本来是序化直觉就做完现在需要激活到共时性自由能仔细观察。但若其判定当事人是忽视和拒绝沟通的前提下营私的行为。大家吃不同的饭。既然当事人没必要无故给你权益，你也没必要花额外精力仔细维持沟通。最终当事人形成信息茧房。
社会化举例三。Culture_q公式落地时需建立组织伦理限制熵增。假设在组织内部出现恶意博弈将会教会徒弟饿死师傅，为了自保，技术合伙人开设公司专利挂该公司或者师傅留一手压箱底，体现在博弈公式中正是认为造出一个卡点张量M_ij。师傅进入中医原教旨状态镇场体现在博弈公式中正是采用语义隔离保持D_kl&gt;0。</t>
  </si>
  <si>
    <r>
      <rPr>
        <sz val="16"/>
        <rFont val="宋体"/>
        <charset val="134"/>
      </rPr>
      <t>《成人札记初心版</t>
    </r>
    <r>
      <rPr>
        <sz val="16"/>
        <rFont val="冬青黑体简体中文"/>
        <charset val="134"/>
      </rPr>
      <t>・</t>
    </r>
    <r>
      <rPr>
        <sz val="16"/>
        <rFont val="宋体"/>
        <charset val="134"/>
      </rPr>
      <t>序曲3》牵挂的左岸：澄辉闪耀珠胎印</t>
    </r>
    <r>
      <rPr>
        <i/>
        <sz val="10.5"/>
        <color rgb="FF808080"/>
        <rFont val="方正仿宋_GBK"/>
        <charset val="134"/>
      </rPr>
      <t xml:space="preserve">
1、紫式部说：他们天生就是那个平台的不二选择。站在官僚体系的角度看没有什么是天生的。那么，他们的轿子被抬得这么高这么远、其中必然内蕴着某一个成长的过程。
或者紫式部明白这事，只是认为外人没有必要知道成长细节，所以没明写唯光是否曾用袖子扫过桌面。
2、在右近立场看夕颜是初婚没落的贵族女，和高阶贵族暗结珠胎是符合习俗最优解。我在讨论人间。</t>
    </r>
  </si>
  <si>
    <r>
      <rPr>
        <sz val="16"/>
        <rFont val="宋体"/>
        <charset val="134"/>
      </rPr>
      <t>《成人札记初心版</t>
    </r>
    <r>
      <rPr>
        <sz val="16"/>
        <rFont val="冬青黑体简体中文"/>
        <charset val="134"/>
      </rPr>
      <t>・</t>
    </r>
    <r>
      <rPr>
        <sz val="16"/>
        <rFont val="宋体"/>
        <charset val="134"/>
      </rPr>
      <t>序曲2》牵挂的羁绊：澄辉不察山崖心</t>
    </r>
    <r>
      <rPr>
        <i/>
        <sz val="10.5"/>
        <color rgb="FF808080"/>
        <rFont val="方正仿宋_GBK"/>
        <charset val="134"/>
      </rPr>
      <t xml:space="preserve">
1、六条妃子因牵挂现身陋巷。夕颜因牵挂左右为难。但是，性格摆在这、她们只会如此这般对话。
2、人和人的边界在哪里？如果是初心，我们在讨论“有效沟通”。信由诈生，因信称义，所谓初心是依靠“有效沟通”增加纠偏力之后的“信”。相信的力量足以引导我们热爱生活和工作。
3、人和人的边界在哪里？如果是留白前提下的牵挂叙事，即妄执法门，我在讨论心流的冲撞。</t>
    </r>
  </si>
  <si>
    <r>
      <rPr>
        <sz val="12"/>
        <rFont val="宋体"/>
        <charset val="134"/>
      </rPr>
      <t>晨晓雾浓，源氏一行登上牛车，由守院人儿子驾驶、辗转而稳当地来到某处僻静的别院门外</t>
    </r>
    <r>
      <rPr>
        <sz val="3"/>
        <rFont val="宋体"/>
        <charset val="134"/>
      </rPr>
      <t xml:space="preserve">
</t>
    </r>
    <r>
      <rPr>
        <sz val="12"/>
        <rFont val="宋体"/>
        <charset val="134"/>
      </rPr>
      <t>这是一座高庭大院隔绝市井的旧日离宫别院，草木已久无打点，亭池台基依然宽阔扎实，秋风掠过，萧瑟中略显冷清湿凉。踏入院中，源氏驻足凝视身侧温婉柔弱的夕颜，沉顿片刻，吟道：“晨曦微兮路朦朦，古人为爱兮每踟蹰。” ，继而柔声说出，“我生平从未尝有过此种经验，今日一试，可实在是折磨人呀。你可曾有过这般经历？”。夕颜闻声神色一变，旋即不知从哪里冒出来的答语：</t>
    </r>
    <r>
      <rPr>
        <sz val="12"/>
        <rFont val="黑体"/>
        <charset val="134"/>
      </rPr>
      <t>“</t>
    </r>
    <r>
      <rPr>
        <sz val="12.5"/>
        <rFont val="黑体"/>
        <charset val="134"/>
      </rPr>
      <t>澄辉再照三夜饼，月亏待期兮突隐蚀。</t>
    </r>
    <r>
      <rPr>
        <sz val="12"/>
        <rFont val="黑体"/>
        <charset val="134"/>
      </rPr>
      <t>”</t>
    </r>
    <r>
      <rPr>
        <sz val="12"/>
        <rFont val="宋体"/>
        <charset val="134"/>
      </rPr>
      <t>，大约是情急之中兜了风受了寒，打了一阵剧烈的寒战，清秀的面颊咳得通红。</t>
    </r>
    <r>
      <rPr>
        <sz val="2"/>
        <rFont val="宋体"/>
        <charset val="134"/>
      </rPr>
      <t xml:space="preserve">
</t>
    </r>
    <r>
      <rPr>
        <sz val="12"/>
        <rFont val="宋体"/>
        <charset val="134"/>
      </rPr>
      <t>源氏听闻 “再造” 心中了然自己便是那第二份 “临近三夜饼”的礼数。但也愕然夕颜竟敢这般直白，自知言语唐突，一时间竟也忘了调笑、冷了场面。恰好短暂的一问一答之间，院中雾气愈发浓重寒凉浸透衣衫，源氏就此岔开话题命众人安顿歇息。唯有侍女右近见着这宅院的格局，又见守宅人恭谨谦卑礼数周全，暗自揣测此主人的权势定然在二品以上，好似陪自家主人又一次迈过了命运这门槛，欣然从心底生出了许多的轻快感。</t>
    </r>
    <r>
      <rPr>
        <sz val="10"/>
        <rFont val="宋体"/>
        <charset val="134"/>
      </rPr>
      <t xml:space="preserve">
</t>
    </r>
    <r>
      <rPr>
        <sz val="12"/>
        <rFont val="宋体"/>
        <charset val="134"/>
      </rPr>
      <t>临了中午源氏夕颜方才起身。由源氏亲手支起木格子门，荒芜的园中空无人影，近处花草也无甚可观。入园细看，杂草与古木参差、颇有些阴森可怕。池塘也被乱生的水草掩没着。“好荒凉，好怕人哪！”， 源氏自始依旧是以头巾蒙着脸。夕颜反倒笑他不解幽趣：
源氏吟道：“夕露繁兮催花开～ 如今终展真面目，只缘路旁兮曾徘徊。”
夕颜答咏：“夕颜丽兮露光中！ 往日为花尝陶醉，盖因薄暮兮总玲珑。”</t>
    </r>
    <r>
      <rPr>
        <sz val="2"/>
        <rFont val="宋体"/>
        <charset val="134"/>
      </rPr>
      <t xml:space="preserve">
</t>
    </r>
    <r>
      <rPr>
        <sz val="12"/>
        <rFont val="宋体"/>
        <charset val="134"/>
      </rPr>
      <t>夕颜侧立望着源氏，反而自觉眼前之人别有一番风流韵味，分外可爱。源氏见其逐渐放下拘束，试探说： “因为你一直不肯透露身世，所以我就没让你看清真面目。如今，你已看见我的长相了，那么，至少也告诉我姓甚名谁呀。不明底细，岂不教人感觉阴阳怪气的”。对于源氏这个要求，夕颜则是巧妙地闪避道：“本乃漂泊之身，哪有什么名姓值得奉告的呢？” 羞于启齿忸怩作态的模样儿甚是逗人怜爱，“算了吧～”。他俩就是如此这般卿卿我我、痴人梦话云中雾里地消磨着时光。</t>
    </r>
    <r>
      <rPr>
        <sz val="2"/>
        <rFont val="宋体"/>
        <charset val="134"/>
      </rPr>
      <t xml:space="preserve">
</t>
    </r>
    <r>
      <rPr>
        <sz val="12"/>
        <rFont val="宋体"/>
        <charset val="134"/>
      </rPr>
      <t>毕竟春宵，侍女右近在屏风后焚起了麝香。衣衫松散、发丝凌乱的夕颜委顿在床榻上，刚才因寒战而匮乏的肌肤已经焕发出朝气，而下腰部那颗旧日的朱砂痣在微光中却格外碍眼，仿佛间人在前面赶，魂在后面追。她看见源氏嘴巴在动，依稀辨出这嘴形说的内容是：“终于还是卸下了伪装，我面前你无需模仿成为大人的衣服、妆容和神态。”。忽然，感觉丹田陡然涌起一阵恶心闷流，全身不住颤抖起来，浑身发冷。</t>
    </r>
    <r>
      <rPr>
        <sz val="2"/>
        <rFont val="宋体"/>
        <charset val="134"/>
      </rPr>
      <t xml:space="preserve">
</t>
    </r>
    <r>
      <rPr>
        <sz val="12"/>
        <rFont val="宋体"/>
        <charset val="134"/>
      </rPr>
      <t>又此时，仿佛看见房中还一位绝色的陌生女子立在枕边怨恨地盯着自己。还看见侍女从屏风后冲出来用熟悉的声音说 “夫人的体质冲煞”。听见不知谁曾提过“狐狸精”。恍惚见源氏出去了一会便响起了洪亮的“夜鸣弦驱邪声”。</t>
    </r>
    <r>
      <rPr>
        <sz val="10"/>
        <rFont val="宋体"/>
        <charset val="134"/>
      </rPr>
      <t xml:space="preserve">
</t>
    </r>
    <r>
      <rPr>
        <sz val="12"/>
        <rFont val="宋体"/>
        <charset val="134"/>
      </rPr>
      <t>许久后，逐渐平复的夕颜在鸣弦声中苏醒过来，只觉头痛口干。房中只有自己和源氏，源氏坐在床边哭泣。此时藤原唯光急匆匆迈入了房间，唯光她认得的，街坊中少有的俊才、年纪轻轻官阶已接近头中将。她看见唯光的眼珠和大脑在飞速运转，显然，他进屋时就嗅出了空气中混杂的异样腥臭似乎是麝香和乌头碱，“行了行了。这么玩儿是嫌命长啊” 唯光对彷徨哭泣的源氏嘟囔了一句。随即用衣服下摆作掩护，另一只手像条泥鳅扫抹而过，以迅雷不及掩耳的速度将剩余的药渣和药盒直接扫进了自己的衣袖深处。然后，藤原唯光的目光终于从夕颜那白得发青的圆脸和拧在一起的纤眉挪开、转移到了源氏身上：“哎，哭能把人哭活吗？”，略微睥睨，“我的公子呦，我私下是听说右大臣只用蛇床子也能治外伤，哎，现在说我也来不及...”。源氏被这冒犯的态度和左一句右一句的莫名话头一顿激灵，顿时收住了无措、冷峻起来。只是站着没说半个字。唯光直身微微一笑，瞬息又迅速弯下腰换上一副媚眼：“可否这样，您先回府这里唯光来处理。”。然后扭头对房外大喊一声，号令守院人儿子备车启程。</t>
    </r>
    <r>
      <rPr>
        <sz val="2"/>
        <rFont val="宋体"/>
        <charset val="134"/>
      </rPr>
      <t xml:space="preserve">
</t>
    </r>
    <r>
      <rPr>
        <sz val="12"/>
        <rFont val="宋体"/>
        <charset val="134"/>
      </rPr>
      <t>源氏循着安排回府，惟光则有条不紊地打理后续事宜，又细细重新安顿了别院里的诸项杂务。源氏回府后哀痛病榻数月，对外只道是突发惊风中恶，数月后，恢复光彩的源氏特意召来右近咨询后事细节、在惟光现场穿针引线下少不了一番亏情抚恤，源氏遂将右近也安置进了府内。</t>
    </r>
  </si>
  <si>
    <r>
      <rPr>
        <sz val="16"/>
        <rFont val="宋体"/>
        <charset val="134"/>
      </rPr>
      <t>《成人札记初心版</t>
    </r>
    <r>
      <rPr>
        <sz val="16"/>
        <rFont val="冬青黑体简体中文"/>
        <charset val="0"/>
      </rPr>
      <t>・</t>
    </r>
    <r>
      <rPr>
        <sz val="16"/>
        <rFont val="宋体"/>
        <charset val="134"/>
      </rPr>
      <t>序曲1》试炼：澄心徇禄养鸣禽</t>
    </r>
    <r>
      <rPr>
        <sz val="10.5"/>
        <rFont val="方正仿宋_GBK"/>
        <charset val="134"/>
      </rPr>
      <t xml:space="preserve">
1、澄辉是林文月的文学意像。澄辉闪耀珠胎印不是随笔，是源氏物语第四章中相关章节的重写。但我又觉得太露，所以配一篇澄辉不察山崖心进行羁绊抵抗
2、笔者不是充分的民主主义者。良态社会必须要有一定幅度的阶层跃迁，但跃迁未必凭个性、理性和美学，也可能是大局观妥协性，这需要依当时历史阶段而定
3、时代试炼看路径依赖和历史使命，个人试炼看出生背景和价值观，有事业心的人推动历史脉动，没事业心留在红尘中徇禄养鸣禽中观看历史脉动</t>
    </r>
  </si>
  <si>
    <t>厘
清
日
本
国
政
府
之
目
标</t>
  </si>
  <si>
    <t>发展日本国内经济 ==&gt; 该国的可预期的经济目标？未见基于“中日关系”所构筑的经济发展相关规划</t>
  </si>
  <si>
    <t>捍卫日本主权安全 ==&gt; 假想敌是谁，其谋求为何？未见主权安全方面明确而急迫的需求</t>
  </si>
  <si>
    <t>捍
卫
美
国
主
权
安
全</t>
  </si>
  <si>
    <t>处置一：美国撕毁安保协议不认</t>
  </si>
  <si>
    <t>乌克兰销毁核武时美国亦承诺保护，事后仍可能不出兵。美国实际行为是输血、号令全球制裁俄罗斯</t>
  </si>
  <si>
    <r>
      <rPr>
        <sz val="10"/>
        <rFont val="宋体"/>
        <charset val="134"/>
      </rPr>
      <t>处置二：
日本立大旗、美国推供应链铁幕</t>
    </r>
    <r>
      <rPr>
        <sz val="10"/>
        <color indexed="23"/>
        <rFont val="方正仿宋_GBK"/>
        <charset val="134"/>
      </rPr>
      <t xml:space="preserve">
</t>
    </r>
    <r>
      <rPr>
        <i/>
        <sz val="10"/>
        <color rgb="FF808080"/>
        <rFont val="方正仿宋_GBK"/>
        <charset val="134"/>
      </rPr>
      <t>注意日本核心竞争力、以及相关企业在市场竞争中败给了谁？</t>
    </r>
    <r>
      <rPr>
        <i/>
        <u/>
        <sz val="10"/>
        <color indexed="23"/>
        <rFont val="方正仿宋_GBK"/>
        <charset val="134"/>
      </rPr>
      <t>一亿玉碎若能换得供应链铁幕，在美国辖地内日本没对手</t>
    </r>
    <r>
      <rPr>
        <i/>
        <sz val="10"/>
        <color rgb="FF808080"/>
        <rFont val="方正仿宋_GBK"/>
        <charset val="134"/>
      </rPr>
      <t>。如果换不来,一亿人命找中国乞求些工作。</t>
    </r>
    <r>
      <rPr>
        <i/>
        <sz val="2"/>
        <color indexed="23"/>
        <rFont val="宋体"/>
        <charset val="134"/>
      </rPr>
      <t xml:space="preserve">
</t>
    </r>
    <r>
      <rPr>
        <i/>
        <sz val="10"/>
        <color rgb="FF808080"/>
        <rFont val="方正仿宋_GBK"/>
        <charset val="134"/>
      </rPr>
      <t>要看清人性，其文化没有一般富豪的体恤思维，只有看空气和这投票率。丢性命主要底层，这是日本底层的生命权加杠杆变现！</t>
    </r>
  </si>
  <si>
    <t>中国自主安排阶段</t>
  </si>
  <si>
    <r>
      <rPr>
        <sz val="11"/>
        <rFont val="宋体"/>
        <charset val="134"/>
        <scheme val="minor"/>
      </rPr>
      <t>Biz1、</t>
    </r>
    <r>
      <rPr>
        <sz val="11"/>
        <color rgb="FFFF0000"/>
        <rFont val="宋体"/>
        <charset val="134"/>
        <scheme val="minor"/>
      </rPr>
      <t>推广CIPS，金融锚从房产转到工业、科技和居民储蓄</t>
    </r>
    <r>
      <rPr>
        <sz val="11"/>
        <rFont val="宋体"/>
        <charset val="134"/>
        <scheme val="minor"/>
      </rPr>
      <t>。城头债阳光化</t>
    </r>
  </si>
  <si>
    <t>供应链市场化阶段
技术制裁
航运制裁</t>
  </si>
  <si>
    <t>Biz2、「供应链市场化」=墨西哥、东南亚、摩洛哥、南欧等世界工厂</t>
  </si>
  <si>
    <r>
      <rPr>
        <sz val="11"/>
        <rFont val="宋体"/>
        <charset val="134"/>
      </rPr>
      <t>Biz3、</t>
    </r>
    <r>
      <rPr>
        <sz val="11"/>
        <color indexed="10"/>
        <rFont val="宋体"/>
        <charset val="134"/>
      </rPr>
      <t>用廉价产品提高南方国家的民生、贸易空间足够撑起中国GDP 三十年超3%增长率</t>
    </r>
  </si>
  <si>
    <t>Biz4、关键矿产等反制工具和欧美进行讨价还价</t>
  </si>
  <si>
    <r>
      <rPr>
        <sz val="11"/>
        <color theme="0"/>
        <rFont val="宋体"/>
        <charset val="134"/>
      </rPr>
      <t>.</t>
    </r>
    <r>
      <rPr>
        <sz val="11"/>
        <rFont val="宋体"/>
        <charset val="134"/>
      </rPr>
      <t xml:space="preserve">          制裁阵痛经电子类民企的破产影响民生，最后依靠华为系技术走出来</t>
    </r>
  </si>
  <si>
    <t>Biz5、南海例行巡逻</t>
  </si>
  <si>
    <t>Biz6、找摩洛哥等国洽谈租用军港，构筑西非战力</t>
  </si>
  <si>
    <t>制裁国开行、口行</t>
  </si>
  <si>
    <t>BizX、人民币双边货币互换盛行。韩国、南欧等地的换币业务兴起</t>
  </si>
  <si>
    <t>供应链铁幕阶段
全面制裁四大行
冻结海外资产</t>
  </si>
  <si>
    <t>War1、「供应链铁幕」=中国出现工业利维坦和走私；欧美出现30%通货膨胀</t>
  </si>
  <si>
    <t>War2、铁幕加剧内卷催生工业巨头，巨头业态内会孵生大量走私掮客等附庸厂</t>
  </si>
  <si>
    <r>
      <rPr>
        <sz val="11"/>
        <color theme="0"/>
        <rFont val="宋体"/>
        <charset val="134"/>
      </rPr>
      <t xml:space="preserve">.            </t>
    </r>
    <r>
      <rPr>
        <sz val="11"/>
        <rFont val="宋体"/>
        <charset val="134"/>
      </rPr>
      <t>确认经济可控后利维坦将按细分产业分裂成2-5家切回市场化竞争模式</t>
    </r>
  </si>
  <si>
    <t>War3、CIPS崛起。多国发行加密币，加密币在走私经济获得极大发展，直接消解美元霸权</t>
  </si>
  <si>
    <r>
      <rPr>
        <sz val="11"/>
        <rFont val="宋体"/>
        <charset val="134"/>
      </rPr>
      <t>War4、一旦制裁四大行。太平洋全部是战区，任何军事行动均是</t>
    </r>
    <r>
      <rPr>
        <sz val="11"/>
        <color indexed="10"/>
        <rFont val="宋体"/>
        <charset val="134"/>
      </rPr>
      <t>三战的预演</t>
    </r>
  </si>
  <si>
    <r>
      <rPr>
        <sz val="10"/>
        <rFont val="宋体"/>
        <charset val="134"/>
      </rPr>
      <t>处置三：美军全面参战</t>
    </r>
    <r>
      <rPr>
        <i/>
        <sz val="10"/>
        <color rgb="FF808080"/>
        <rFont val="方正仿宋_GBK"/>
        <charset val="134"/>
      </rPr>
      <t xml:space="preserve">
即，第三次世界大战</t>
    </r>
  </si>
  <si>
    <t>三战状态中没人聊经济，凭枪杆子划分势力范围</t>
  </si>
  <si>
    <r>
      <rPr>
        <sz val="10"/>
        <rFont val="宋体"/>
        <charset val="134"/>
      </rPr>
      <t>处置四：美国大规模使用核武器</t>
    </r>
    <r>
      <rPr>
        <sz val="10"/>
        <rFont val="方正仿宋_GBK"/>
        <charset val="134"/>
      </rPr>
      <t xml:space="preserve">
</t>
    </r>
    <r>
      <rPr>
        <i/>
        <sz val="10"/>
        <color rgb="FF808080"/>
        <rFont val="方正仿宋_GBK"/>
        <charset val="134"/>
      </rPr>
      <t>个人不认为美国会为此事用核</t>
    </r>
  </si>
  <si>
    <t>到这程度只剩公事公办了吧</t>
  </si>
  <si>
    <t>中
国
的
处
境</t>
  </si>
  <si>
    <t>最
优
解</t>
  </si>
  <si>
    <t>现状：经济体高速发展时必有火车头。中国也不例外，不均体现在1城乡二元结构致国民笃信储蓄兜底 2房产基建成为金融业务的绝大部分</t>
  </si>
  <si>
    <t>中国工业目前具备断代优势。所以，地缘最优解是全力发展核工业和月球氦矿，未来一百年在能源价格下降的过程中获得更稳固的地位</t>
  </si>
  <si>
    <t>《夏威夷军事新闻计划》预演阶段阻止‘第三次世界大战爆发’的最后一次尝试
①反潜重点放在露头必歼 ②六代机在太平洋巡逻，可以从任一坐标忽然发射空空导弹 ③充分利用制空权，航母不时抵近夏威夷五百公里处 ④瘫痪印太指挥部和珍珠港十小时 ⑤特种部队落地找出夏威夷政府主要官员召开联合记者会，直播我国立场、促其退战避免三战。会后撤回航母 ⑥特种部队可换机器狼，记者会可换其它低破坏显军威的方式 ⑦若美军主战派有能力主导民众情绪、那么反证三战无可避免。PLA应该掌握主动权</t>
  </si>
  <si>
    <t>应
对
之
策</t>
  </si>
  <si>
    <r>
      <rPr>
        <sz val="10"/>
        <rFont val="宋体"/>
        <charset val="134"/>
      </rPr>
      <t>日本因为错误的金融政策陷入失去的三十年。金融政策的代表文件是“广场协议”，类似的，中国不惜铁腕也要拒止“供应链铁幕”，精明的日本人早看见了这一点。
“败给美国还是败给中国”这不重要。“话语权在发动二战的人群手中”，客观讲，个人尚不认为这足以决定生死，但日本赌国运时我们不上赌桌则满盘皆输。
日本政府执行力令人佩服，国民通过读空气让度私权实质性集权。日本掌权者在2020s表现出强烈赌性，像输光了筹码的赌徒在表演他的一哭二闹三上吊的套路。
言归正传：应当假定其拥有2000枚导弹和约十枚核弹。所以要做好准备抵抗三位数的大型炸弹轰炸</t>
    </r>
    <r>
      <rPr>
        <sz val="10"/>
        <color indexed="55"/>
        <rFont val="宋体"/>
        <charset val="134"/>
      </rPr>
      <t>，这强度也大致是三战时的本土的实际破坏强度</t>
    </r>
  </si>
  <si>
    <t>这是日本底层生命权变现。即便把这里变成焦土，然后呢，现在富人在重建中又可以享受巨额的新利润。原则上要建起有阶层跃迁的财富分流机制</t>
  </si>
  <si>
    <r>
      <rPr>
        <sz val="11"/>
        <rFont val="华文楷体"/>
        <charset val="134"/>
      </rPr>
      <t>考虑该国军国主义根深蒂固，战略目标忌求速胜。</t>
    </r>
    <r>
      <rPr>
        <sz val="11"/>
        <color indexed="10"/>
        <rFont val="华文楷体"/>
        <charset val="134"/>
      </rPr>
      <t>可以谋求建立大阪第二意志政府进行制衡，提倡体感致良知</t>
    </r>
  </si>
  <si>
    <r>
      <rPr>
        <sz val="12"/>
        <rFont val="宋体"/>
        <charset val="134"/>
      </rPr>
      <t>第一阶段
偷袭</t>
    </r>
    <r>
      <rPr>
        <sz val="10"/>
        <rFont val="宋体"/>
        <charset val="134"/>
      </rPr>
      <t xml:space="preserve">
进入战争状态</t>
    </r>
  </si>
  <si>
    <t>中国沿海数十座机场和雷达消耗400枚导弹、军港军舰等消耗250枚导弹</t>
  </si>
  <si>
    <t>1、立即摧毁其舰艇、军港和机场。用一个月左右清理掉大部分潜艇和导弹
2、要求成立第二意志政府，形成制衡格局
3、前线指挥部设在舰队上，能从舰队出发几分钟内投放“具备狙击能力的巡逻用无人机群”
      无人机群在熊本和九州岛不定期巡逻，发现敌对分子喝令投案或狙杀之
4、中国国内民用目标遭攻击则摧毁该国军民两用企业及配套设施
5、中国国内重点企业产学研分离。生产设备随修随迁，研发实验室多地热备，核心团队远程工作
6、要允许美国背后输血，也要提醒美国慎重使用官方身份直接参战</t>
  </si>
  <si>
    <r>
      <rPr>
        <sz val="12"/>
        <rFont val="宋体"/>
        <charset val="134"/>
      </rPr>
      <t>第二阶段
自证</t>
    </r>
    <r>
      <rPr>
        <sz val="10"/>
        <rFont val="宋体"/>
        <charset val="134"/>
      </rPr>
      <t xml:space="preserve">
美国直接参战时</t>
    </r>
  </si>
  <si>
    <t>针对民用目标陆续发射数百枚导弹扩大影响，以自证价值</t>
  </si>
  <si>
    <r>
      <rPr>
        <sz val="12"/>
        <rFont val="宋体"/>
        <charset val="134"/>
      </rPr>
      <t>第三阶段
灭顶前夜</t>
    </r>
    <r>
      <rPr>
        <sz val="10"/>
        <rFont val="宋体"/>
        <charset val="134"/>
      </rPr>
      <t xml:space="preserve">
军国主义灭顶时</t>
    </r>
  </si>
  <si>
    <t>悄悄制造核弹准备在灭顶时孤注一掷</t>
  </si>
  <si>
    <t>1、勿中奸计。若美国直接参战或制裁四大行则发动夏威夷军事新闻计划，否者压制局面是正解
2、原则上尽可能减少影响民生的前提下有效消耗军国主义(无需主动攻击海运)
3、用核则美国立即进行战术性切割、那么军国主义会从速被铲除。战斗可以在数天内结束</t>
  </si>
  <si>
    <r>
      <rPr>
        <sz val="12"/>
        <rFont val="宋体"/>
        <charset val="134"/>
      </rPr>
      <t>第四阶段
非军意志落地</t>
    </r>
    <r>
      <rPr>
        <sz val="10"/>
        <rFont val="宋体"/>
        <charset val="134"/>
      </rPr>
      <t xml:space="preserve">
你发展自己</t>
    </r>
  </si>
  <si>
    <t>不要莫名叫嚣有事、指摘别国内政。
你发展自己就好。能不能建立阶层跃迁机制看缘分，别国没义务拯救你国永远在看空气的国民</t>
  </si>
  <si>
    <t>1、敦贺-长浜-桑名一线将日本划分东西政府。PLA对西日本政府提供武力背书
2、吉田主义和石破茂。西日本政府的主政者可以没有从政经验，必须熟悉经济有大局观
3、志位和夫。清高，譬如西日本政府范围内建成金税四期AI版，交付后由志位和夫负责纪检审计
4、大阪维新会。营销思维重，提供治安技术咨询，唯新会的职业经理人专心数钱不出错即可
5、公明党。酌情邀其同时参政东西日本的行政，构建行政沟通渠道</t>
  </si>
  <si>
    <t>本文总结：美国直接参战或制裁四大行就是三战。否则日本跳再高只是风险不外溢的局部战争，在韧性能承受的幅度内</t>
  </si>
  <si>
    <r>
      <rPr>
        <sz val="12"/>
        <color theme="0"/>
        <rFont val="楷体"/>
        <charset val="0"/>
      </rPr>
      <t>.</t>
    </r>
    <r>
      <rPr>
        <sz val="12"/>
        <color rgb="FFFF0000"/>
        <rFont val="楷体"/>
        <charset val="0"/>
      </rPr>
      <t xml:space="preserve">                    看美国哪些人能主导民众情绪。除日本外东亚的几次战争美军都没赢，它国内的反战情绪赢了。如果主战派能主导情绪就是三战</t>
    </r>
  </si>
  <si>
    <t>冷静: AI预期、稳定币美债长转短、能源独立、军工航天和卫星、工业本土化。AI不达预期最迟2029年触发巨震。稳定币推升通膨敏感性、是放大器
      美债危机撑不了几十年。看美国如何处置美债危机！基于目前全球的金融格局、若美国处理不好、并没有任何一个大国可以合法地独善其身</t>
  </si>
  <si>
    <t>知识是一种涌现。微观上涌现的过程是形成某一个新的逻辑闭环的过程。例如按测度把时域数据转换到频域、用频域概念陈述命题，就是发现了新知识。
涌现具有虚拟性，可能是升维，可能是降维向下兼容。可能是沟通减熵。甚至可能是假设性信息外溢，例如三位一体所涌现的有可能是全假性知识。
基于信息量的讨论称语言游戏。为了在语言游戏中达成共识，需要在某个一致性上下文中明确其分歧，这称为形式逻辑。信息量包含无限假设性，例如最常用的矛盾律，罗列假才能确认「非真」是「假」，还是不是「假」。所以，形式逻辑是语言游戏的边界。
① 智能体的本质是“概率论随机过程中的记忆过程”。记忆过程包含路径依赖，路径依赖是约束、所以涌现出了博弈。
② 收敛性是(co)limit在半环范畴中的对偶咬合与范畴化共振。具体体现在名利权情势的博弈空间是一个「预层Presheaf」范畴，在其进化/被限定成「层Sheaf」时需要满足「单射性Locality」和「满射性Gluing Axiom」。层涌现出了(co)limit。实现博弈和收敛性之间的数学搭桥
③ 数学皆可用数论表达，是代数。数学皆可用半环箭头表达，是范畴论。以后可能用量子拓扑学仅有起点的箭头表达
④ 博弈思维中路径依赖被对齐在纳什不动点Nash Equilibrium Point。半环思维中路径依赖被对齐在共识之上的收敛性Global Section。量子拓扑学阶段路径依赖将对齐在算符流Operator Flow。可以认为，纳什不动点中主权利益霸占了路径依赖解释权。收敛性不能解决所有路径依赖，算符流也未必解决。
①②③陈述完成了数学搭桥，但未证完备性、这种并置是方法论的霸凌。④暗示路径依赖的走向性足以提供部分权威性</t>
  </si>
  <si>
    <t>提高决策者数学深度可增加社会共识。宋朝后全球出现“大量货品交换”，社交复杂度升到记账级别，思考深度如《思考快与慢》。随着算力降本必出现大量“收敛性押注”，社交复杂度首先达到半环构型级别。做透收敛性押注后将看到新的涌现边界。在时间的终点上，社交复杂度最终涵盖所有的语言游戏、拆除涌现的上限。
伊斯兰文化是碎片保守性(笔者个人目前这么认为)，属于原生态离散符号无法胶合的符号博弈。
 基督教文化经系统神学改造后，奥古斯丁三位一体被架高仅限于指导立场，业务层面则是审慎可逆度量的向量空间和线代结构。
 中华文化是代偿-中庸-沟通有效性的三位一体，代偿会主动切割业务语义连续性所以业务层面只能返回半环构型才能理解其模式。</t>
  </si>
  <si>
    <t>16、所有AI算法均属下述六大类=甲:半环结构、乙:线性代数结构、丙:向量空间结构
      丁:给定的“离散符号或字符串序列”的语料处置模式
      戊:给定的专家业务模式、已:给定的随机数生成模式
      其中，“专家模式”、“随机数模式”既不具备审慎性也不具备延拓性。
      “符号模式”智能体不具备审慎性，例如三位一体结构有可能涌现出假性知识。
此表格是一线AI工程师在基于础语料调优的实际框架。例如，目前占用最大量精力的参数是Beta。半环构型智能体在可加测度半环上增加“归一约束”即涌现出“beta逆温度”。beta取正实数时称概率测度、不具备审慎性。beta取无穷大时称maxplus容度、具备审慎性，这是主权凸优化路径对长尾异构价值观噪音的绝对刚性剪裁。
误差可提高拟合的适配性，所以AI算法必将出现《自觉假设性涌现》的学习能力。这类似碳基人睡眠中长时记忆机制。对手是中医原教旨时还需“训练假想敌agent”用作陪练才是有效假设。则此阶段AI必须使用上述类目。
工业目前评估收敛性是标注离散符号，不是此分类。
21、名誉可提高边际收益，体现在CVaR保守性概率。名誉、风控和常务协调三方面管理不善
       拖累业务路线的凸优化，导致项目资源打水漂。一把手不称职导致组织动作变形、内务
       退化成“情:党羽人格重建”和“权:二次分配”，长此以往、逐渐固化成小圈子。</t>
  </si>
  <si>
    <t xml:space="preserve">24、半环弹性大，缺点也会被放大，Cohesion低则会议上体现为事实摆上台面之后改了空气，纪要中却依旧指鹿为马。
     内行经办者看见组织凝聚力太低则会自求多福、不再顾惜企业。在业务上改弦易辙、配合干系人的性格和管理习惯走位。
     一旦进入无效沟通博弈，后期极大可能不只是归咎一把手本人。在资源充沛时需立威拒背锅切换在博弈层面内耗式相处即可。
     在创新业态等资源有限的场景中，别无选择，会对一致行动人皆务求斩草除根。
     随带提一嘴，创业阶段技术合作人不应以自然人身份参股。可以开设公司、专利成果挂在该公司参股。本条目是数学算计的举例。
    在极端情况下，沟通变现收益有可能是被株连九族！想明白类似结构后儒式心学为避口祸选择中庸或自逼。
    这在数学可以简化称成用“沟通有效性”符号完成了一次“超度量隔离”。严肃说法是我们应当从数论基准扩展到更广阔的范畴论。
25a、狭隘者刻意强调路径依赖等约束。这导致延拓和博弈并置，文化要求我们一致性地讨论“价值驱动”、“内蕴路径依赖的博弈驱动”、
     “内蕴干系人圈子的博弈驱动”。算力降本后，这确实可以放在同一个框架内联动拟合如下，
25b、前述《沟通变现收益公式》中，运动式大扫除、明确的优待资格等项可直接登记输入，对应red篇所提的「经营六事」中留心机。
     隐晦但决定性的因素，只能依靠项目中的蹊跷迹象判断。这是项目日志中的凸优化残差。
25c、干系人性格必将成为一个极富前景的MCP 细分的训练专业。
    「干系人党羽MCP」是被训练出的一组陪练代理。单个代理的数学内核是“名利权情势这一组Beta 向量”及因此积累的路径依赖。
     那么，凝聚力公式中的狄拉克内积符号，是基于主权边界相空间勒贝格割裂下的非定域决策性坍缩度量，其算符流通过第18条所述
     之‘超度量隔离’与底层的非逆性半环结构达成范畴论上的箭头一致性。不应误读为经典希尔伯特空间内的对称叠加。”，
     通俗说，凝聚力只在逆性度量中用模，严肃报表中用类似KL 散度exp(-d_kl)
</t>
  </si>
  <si>
    <t>7、我有一位朋友正处在低谷期，闲聊间他说了三件事然后总结出“社会人三问题”，第一件事是朋友落地杭州某团队时，转了跟他多年兄弟的简历，收入证明上是待遇是18k，结果杭州主管面试后给的评价16k。事后老板让他多请杭州主管吃饭搞关系。最后，他在没落地杭州而是转去了深圳。第二件事是2021年深圳分公司上报收购销售额2kw 的智能家居控制器厂家。对接档次太低最后无果。教育应用项目一年无果就立即被抹掉了。第三件事是wwz刚入职，用空头智能锁项目申请50w 设计费，经办人莫名转到前次收购的评估人，成了。但他推介了院士科学家。老板没共鸣吃了一大闷亏。朋友对此的总结是，看主权权益梯度和熵梯度一致性！
脑回路无法应对自由能时，某些碳基人会出现风控不当延拓，特指用熵梯度替代主权权益梯度。碳基社会人三问，第一对面是结构主义者还是共时主义者？第二是对面的结构主义者是否是存在主义者？存在主义者可以畅谈天下风云趋势。第三对面的共时主义者是否允许你安排？允许的话你应当安排五分钟无氧后迫其平躺并保持极致抬臀卷腹。</t>
  </si>
  <si>
    <t>《一个实验》
1、在这里安装开发环境 https://repo.anaconda.com/miniconda
2、conda create -n hf_env python=3.11
3、conda activate hf_env
4、conda install pytorch torchvision torchaudio -c pytorch
5、pip install transformers accelerate tokenizers sentencepiece numpy scipy</t>
  </si>
  <si>
    <t># Author: jackpanr 261004
# Descript: get cosine_similarity between the tensor and embedding.
from transformers import AutoTokenizer, AutoModelForCausalLM
import torch.nn.functional as FUNC
import torch
import json
import os
default_token_wanna = "自由"
default_text = "符号自由能，语义空间"
debug_case_list = [
  {"debug_case_traceid": "1", "debug_case_word": "语义"},
  {"debug_case_traceid": "2", "debug_case_word": "语义2"},
]
pyscript_dir = os.path.dirname(os.path.abspath(__file__))
with open(os.path.join(pyscript_dir,"debug_case_list.json"), "r", encoding="utf-8") as f:
    debug_case_list = json.load(f)
# ========== 以下代码先加载大模型后循环执行每一行debug case ==========
model_name = "Qwen/Qwen2.5-7B-Instruct"
level_pos = 25  # Qwen2.5的Transformer 是28层。这里提取的是24号层
tokenizer = AutoTokenizer.from_pretrained(model_name)
model = AutoModelForCausalLM.from_pretrained(model_name, torch_dtype=torch.float16, device_map="cpu", low_cpu_mem_usage=True)  # 我笔记本是intel 版mac。只能跑CPU版Transformer
for debug_case in debug_case_list:
  debug_case_traceid = debug_case.get("debug_case_traceid", "")
  debug_case_word = debug_case.get("debug_case_word", "")
  debug_case_note = debug_case.get("debug_case_note", "")
  token_wanna = debug_case.get("token_wanna", "")
  if len(token_wanna)&lt;1 :
    token_wanna = default_token_wanna
  text_wanna = debug_case.get("text", "")
  if len(text_wanna)&lt;1 :
    text_wanna = default_text
  text_wanna = text_wanna.replace("{PAD4REPLACE}", debug_case_word)
  inputs = tokenizer(text_wanna, return_tensors="pt")
  readable_ids = inputs["input_ids"][0]
  readable_tokens = [tokenizer.decode([tid]) for tid in readable_ids]
  try:
    token_pos = readable_tokens.index(token_wanna)
  except ValueError:
    print("\n##### ##### ###### ###### ###### 报错了：case", debug_case_traceid, "没找到token。word=", debug_case_word, ", token_wanna=", token_wanna, "")
    print("token列表：", readable_tokens)
    token_pos = -1
    continue  # 找不到token则跳过case。注意：此处输出的不是json 格式！
  with torch.no_grad():
    outputs = model(**inputs, output_hidden_states=True)
  all_hidden = outputs.hidden_states
  layer_embedding = all_hidden[0]
  tensor_embedding = layer_embedding[0, token_pos, :]
  layer_wanna = all_hidden[level_pos]
  tensor_wanna = layer_wanna[0, token_pos, :]
  # print(f"\n[{debug_case_id}] 第{token_pos}号token「{token_wanna}」 的张量形状：", tensor_wanna.shape) # 张量类型是float16[0..3583]
  # print("张量头部值是：", tensor_wanna[:10])
  cos_sim = FUNC.cosine_similarity(tensor_embedding.unsqueeze(0), tensor_wanna.unsqueeze(0))
  print("\n{case:",debug_case_traceid, ", word:\"",debug_case_word,"\", debug_case_note:\"",debug_case_note,"\", embeddingTop8:",tensor_embedding[:8].detach().cpu().tolist(), ", cos_sim:",cos_sim.item(),"},")</t>
  </si>
  <si>
    <r>
      <rPr>
        <sz val="11.5"/>
        <rFont val="宋体"/>
        <charset val="134"/>
        <scheme val="minor"/>
      </rPr>
      <t>11、简述氦能源产业的目前主要技术走向</t>
    </r>
    <r>
      <rPr>
        <i/>
        <sz val="9.5"/>
        <rFont val="方正仿宋_GBK"/>
        <charset val="134"/>
      </rPr>
      <t xml:space="preserve">
</t>
    </r>
    <r>
      <rPr>
        <b/>
        <i/>
        <sz val="9.5"/>
        <rFont val="方正仿宋_GBK"/>
        <charset val="134"/>
      </rPr>
      <t>终极的技术方向：【量子=1维时间+3维空间+6维卡拉比丘流形+1维引力】，其中卡拉比丘流形包含《终极底座》章节所述的48种费米子和13种波色子。卡拉比丘流形类似一台内燃机，腔体结构内烧木柴叫灶台、烧汽油叫汽车发动机、烧偏二甲肼叫火箭发动机。技术挖潜的终极算法是卡拉比丘数学模型上刷题、改参试验量产</t>
    </r>
  </si>
  <si>
    <t>1维时间</t>
  </si>
  <si>
    <t>3维空间</t>
  </si>
  <si>
    <t>6维 卡拉比丘流形</t>
  </si>
  <si>
    <t>1维引力</t>
  </si>
  <si>
    <t>(时间维度)</t>
  </si>
  <si>
    <t>(横纵维度)
(上下维度)
(前后维度)</t>
  </si>
  <si>
    <r>
      <rPr>
        <b/>
        <i/>
        <sz val="9.5"/>
        <rFont val="方正仿宋_GBK"/>
        <charset val="134"/>
      </rPr>
      <t>剪开矮圆桶后将一端反向重新粘合就制做了「莫比乌斯带」，如上图。它只有一个连续的面，被称为「紧致性」
丘成桐证明6维线性正交空间存在“紧致性、曲率处处为零、无左右手性的几何体”。这就是「卡拉比丘流形」
六维空间中的卡拉比丘流形是一个几何体。类似于三维空间中的球形腔体、圆柱管道、长方体容器
卡拉比丘流形</t>
    </r>
    <r>
      <rPr>
        <b/>
        <i/>
        <u/>
        <sz val="9.5"/>
        <rFont val="方正仿宋_GBK"/>
        <charset val="134"/>
      </rPr>
      <t>腔体内的强力、弱力、电力等三种力场的不同取值，恰好能够解释高能物理中的全部基本粒子</t>
    </r>
  </si>
  <si>
    <t>(M膜引力维度)</t>
  </si>
  <si>
    <t>目前核能源业</t>
  </si>
  <si>
    <t>小型钍核能站</t>
  </si>
  <si>
    <t>目前已经没有阻断性的技术难题。主要解决工程上的成本和安全等问题，预期20年内小型钍聚变站能够获得规模性应用</t>
  </si>
  <si>
    <t>氢核聚变发电厂</t>
  </si>
  <si>
    <r>
      <rPr>
        <sz val="10"/>
        <rFont val="宋体"/>
        <charset val="134"/>
        <scheme val="minor"/>
      </rPr>
      <t>核聚变最快50年左右引发生产力革命，必将改变算力、工业和运输业等面貌。这是</t>
    </r>
    <r>
      <rPr>
        <sz val="10"/>
        <color rgb="FFFF0000"/>
        <rFont val="宋体"/>
        <charset val="134"/>
        <scheme val="minor"/>
      </rPr>
      <t>目前可预见的、最大的全球经济的增长动力</t>
    </r>
  </si>
  <si>
    <t>目前凝聚态量子材料业</t>
  </si>
  <si>
    <t>量子计算机</t>
  </si>
  <si>
    <t>这是算力大革命！目前难点在拓扑量子态材料等领域，有可能10年即可商用，但是，这也可能超过100年仍未商用</t>
  </si>
  <si>
    <t>凝聚态材料产品</t>
  </si>
  <si>
    <t>如，超导相关强关联电子理论领域、石墨烯相关二维材料理论领域。需要先框定“特定主题”之后，才能继续调研和讨论</t>
  </si>
  <si>
    <t>目前的其它</t>
  </si>
  <si>
    <t>应用产品举例</t>
  </si>
  <si>
    <t>如，量子通讯可以和月球背面的飞船通讯。中微子通讯可以向月球背面的飞船广播。这类应用构思并不少见，目前主要指开拓思路</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</si>
</sst>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s>
  <fonts count="319">
    <font>
      <sz val="11"/>
      <color theme="1"/>
      <name val="宋体"/>
      <charset val="134"/>
      <scheme val="minor"/>
    </font>
    <font>
      <sz val="12"/>
      <color theme="1"/>
      <name val="宋体"/>
      <charset val="134"/>
      <scheme val="minor"/>
    </font>
    <font>
      <sz val="12"/>
      <name val="宋体"/>
      <charset val="134"/>
      <scheme val="minor"/>
    </font>
    <font>
      <sz val="12"/>
      <color rgb="FF000000"/>
      <name val="宋体"/>
      <charset val="134"/>
      <scheme val="minor"/>
    </font>
    <font>
      <sz val="12"/>
      <color theme="0"/>
      <name val="宋体"/>
      <charset val="134"/>
      <scheme val="minor"/>
    </font>
    <font>
      <sz val="11.5"/>
      <name val="宋体"/>
      <charset val="134"/>
      <scheme val="minor"/>
    </font>
    <font>
      <b/>
      <sz val="12"/>
      <name val="宋体"/>
      <charset val="134"/>
      <scheme val="minor"/>
    </font>
    <font>
      <b/>
      <i/>
      <sz val="10"/>
      <name val="方正仿宋_GBK"/>
      <charset val="134"/>
    </font>
    <font>
      <b/>
      <i/>
      <sz val="9.5"/>
      <name val="方正仿宋_GBK"/>
      <charset val="134"/>
    </font>
    <font>
      <sz val="10"/>
      <name val="宋体"/>
      <charset val="134"/>
      <scheme val="minor"/>
    </font>
    <font>
      <sz val="12"/>
      <name val="宋体"/>
      <charset val="134"/>
    </font>
    <font>
      <sz val="10"/>
      <name val="宋体"/>
      <charset val="134"/>
    </font>
    <font>
      <sz val="16"/>
      <name val="宋体"/>
      <charset val="134"/>
    </font>
    <font>
      <sz val="17"/>
      <color theme="1" tint="0.249977111117893"/>
      <name val="华文楷体"/>
      <charset val="134"/>
    </font>
    <font>
      <sz val="10"/>
      <color theme="1" tint="0.249977111117893"/>
      <name val="华文楷体"/>
      <charset val="134"/>
    </font>
    <font>
      <sz val="11"/>
      <name val="宋体"/>
      <charset val="134"/>
    </font>
    <font>
      <sz val="11"/>
      <name val="宋体"/>
      <charset val="134"/>
      <scheme val="minor"/>
    </font>
    <font>
      <sz val="11"/>
      <color theme="0"/>
      <name val="宋体"/>
      <charset val="134"/>
    </font>
    <font>
      <sz val="11"/>
      <color theme="0" tint="-0.349986266670736"/>
      <name val="宋体"/>
      <charset val="134"/>
    </font>
    <font>
      <sz val="11"/>
      <name val="华文楷体"/>
      <charset val="134"/>
    </font>
    <font>
      <sz val="12"/>
      <color rgb="FFFF0000"/>
      <name val="楷体"/>
      <charset val="0"/>
    </font>
    <font>
      <sz val="12"/>
      <color theme="0"/>
      <name val="楷体"/>
      <charset val="0"/>
    </font>
    <font>
      <i/>
      <sz val="11"/>
      <color theme="0" tint="-0.499984740745262"/>
      <name val="方正仿宋_GBK"/>
      <charset val="134"/>
    </font>
    <font>
      <sz val="9"/>
      <name val="宋体"/>
      <charset val="134"/>
    </font>
    <font>
      <sz val="9"/>
      <name val="FZFangSong-Z02"/>
      <charset val="0"/>
    </font>
    <font>
      <i/>
      <sz val="9.5"/>
      <color rgb="FF808080"/>
      <name val="FZFangSong-Z02"/>
      <charset val="0"/>
    </font>
    <font>
      <i/>
      <sz val="15"/>
      <color rgb="FFBF8F00"/>
      <name val="黑体"/>
      <charset val="134"/>
    </font>
    <font>
      <i/>
      <sz val="16"/>
      <color rgb="FF7B7B7B"/>
      <name val="黑体"/>
      <charset val="134"/>
    </font>
    <font>
      <sz val="9.5"/>
      <name val="宋体"/>
      <charset val="134"/>
    </font>
    <font>
      <sz val="10.5"/>
      <name val="黑体"/>
      <charset val="134"/>
    </font>
    <font>
      <sz val="10.5"/>
      <name val="方正仿宋_GBK"/>
      <charset val="134"/>
    </font>
    <font>
      <sz val="14"/>
      <name val="黑体"/>
      <charset val="134"/>
    </font>
    <font>
      <i/>
      <sz val="10"/>
      <name val="FZFangSong-Z02"/>
      <charset val="0"/>
    </font>
    <font>
      <sz val="10"/>
      <name val="FZFangSong-Z02"/>
      <charset val="0"/>
    </font>
    <font>
      <b/>
      <sz val="9"/>
      <color rgb="FFBF8F00"/>
      <name val="FZFangSong-Z02"/>
      <charset val="0"/>
    </font>
    <font>
      <sz val="9"/>
      <color rgb="FFBF8F00"/>
      <name val="FZFangSong-Z02"/>
      <charset val="0"/>
    </font>
    <font>
      <b/>
      <sz val="12"/>
      <name val="宋体"/>
      <charset val="134"/>
    </font>
    <font>
      <sz val="13"/>
      <color rgb="FFFF0000"/>
      <name val="黑体"/>
      <charset val="134"/>
    </font>
    <font>
      <b/>
      <i/>
      <sz val="9.5"/>
      <color rgb="FFBF8F00"/>
      <name val="宋体"/>
      <charset val="134"/>
    </font>
    <font>
      <i/>
      <sz val="9.5"/>
      <color rgb="FF808080"/>
      <name val="宋体"/>
      <charset val="134"/>
    </font>
    <font>
      <sz val="11"/>
      <color rgb="FF000000"/>
      <name val="宋体"/>
      <charset val="134"/>
    </font>
    <font>
      <sz val="12"/>
      <name val="黑体"/>
      <charset val="134"/>
    </font>
    <font>
      <sz val="12"/>
      <name val="华文楷体"/>
      <charset val="134"/>
    </font>
    <font>
      <i/>
      <sz val="10"/>
      <name val="华文楷体"/>
      <charset val="134"/>
    </font>
    <font>
      <sz val="10"/>
      <color rgb="FF548235"/>
      <name val="华文楷体"/>
      <charset val="134"/>
    </font>
    <font>
      <sz val="9.5"/>
      <name val="方正仿宋_GBK"/>
      <charset val="134"/>
    </font>
    <font>
      <sz val="10"/>
      <name val="方正仿宋_GBK"/>
      <charset val="134"/>
    </font>
    <font>
      <sz val="10"/>
      <color rgb="FF595959"/>
      <name val="华文楷体"/>
      <charset val="134"/>
    </font>
    <font>
      <sz val="14"/>
      <color rgb="FF808080"/>
      <name val="华文楷体"/>
      <charset val="134"/>
    </font>
    <font>
      <b/>
      <sz val="10.5"/>
      <color rgb="FF548235"/>
      <name val="宋体"/>
      <charset val="134"/>
    </font>
    <font>
      <sz val="10"/>
      <color rgb="FF548235"/>
      <name val="方正仿宋_GBK"/>
      <charset val="134"/>
    </font>
    <font>
      <sz val="9"/>
      <color rgb="FF548235"/>
      <name val="方正仿宋_GBK"/>
      <charset val="134"/>
    </font>
    <font>
      <sz val="13"/>
      <name val="黑体"/>
      <charset val="134"/>
    </font>
    <font>
      <sz val="9.5"/>
      <color rgb="FF548235"/>
      <name val="方正仿宋_GBK"/>
      <charset val="134"/>
    </font>
    <font>
      <sz val="10"/>
      <color rgb="FFFF0000"/>
      <name val="黑体"/>
      <charset val="134"/>
    </font>
    <font>
      <b/>
      <sz val="10"/>
      <color theme="5" tint="0.4"/>
      <name val="华文楷体"/>
      <charset val="134"/>
    </font>
    <font>
      <sz val="9"/>
      <color rgb="FF808080"/>
      <name val="方正仿宋_GBK"/>
      <charset val="134"/>
    </font>
    <font>
      <b/>
      <sz val="9.5"/>
      <color rgb="FF548235"/>
      <name val="方正仿宋_GBK"/>
      <charset val="134"/>
    </font>
    <font>
      <b/>
      <sz val="9"/>
      <color rgb="FF6BA543"/>
      <name val="方正仿宋_GBK"/>
      <charset val="134"/>
    </font>
    <font>
      <sz val="12"/>
      <color rgb="FF808080"/>
      <name val="方正仿宋_GBK"/>
      <charset val="134"/>
    </font>
    <font>
      <sz val="11.5"/>
      <color rgb="FF808080"/>
      <name val="方正仿宋_GBK"/>
      <charset val="134"/>
    </font>
    <font>
      <sz val="12"/>
      <color rgb="FF548235"/>
      <name val="方正仿宋_GBK"/>
      <charset val="134"/>
    </font>
    <font>
      <sz val="12"/>
      <color rgb="FF6BA543"/>
      <name val="方正仿宋_GBK"/>
      <charset val="134"/>
    </font>
    <font>
      <b/>
      <sz val="12"/>
      <color rgb="FF6BA543"/>
      <name val="方正仿宋_GBK"/>
      <charset val="134"/>
    </font>
    <font>
      <b/>
      <sz val="10"/>
      <color rgb="FFF4B084"/>
      <name val="STKaiti"/>
      <charset val="134"/>
    </font>
    <font>
      <b/>
      <sz val="9"/>
      <color rgb="FFF4B084"/>
      <name val="方正仿宋_GBK"/>
      <charset val="134"/>
    </font>
    <font>
      <b/>
      <sz val="12"/>
      <color theme="5" tint="0.4"/>
      <name val="方正仿宋_GBK"/>
      <charset val="134"/>
    </font>
    <font>
      <b/>
      <sz val="11"/>
      <color theme="5" tint="0.4"/>
      <name val="方正仿宋_GBK"/>
      <charset val="134"/>
    </font>
    <font>
      <b/>
      <sz val="18"/>
      <color theme="5" tint="0.4"/>
      <name val="方正仿宋_GBK"/>
      <charset val="134"/>
    </font>
    <font>
      <b/>
      <sz val="11.5"/>
      <color theme="5" tint="0.4"/>
      <name val="方正仿宋_GBK"/>
      <charset val="134"/>
    </font>
    <font>
      <sz val="10"/>
      <color rgb="FFF4B084"/>
      <name val="华文楷体"/>
      <charset val="134"/>
    </font>
    <font>
      <sz val="9"/>
      <color theme="5" tint="0.4"/>
      <name val="方正仿宋_GBK"/>
      <charset val="134"/>
    </font>
    <font>
      <sz val="9.5"/>
      <color rgb="FF808080"/>
      <name val="方正仿宋_GBK"/>
      <charset val="134"/>
    </font>
    <font>
      <b/>
      <sz val="15"/>
      <color rgb="FF548235"/>
      <name val="黑体"/>
      <charset val="134"/>
    </font>
    <font>
      <sz val="9"/>
      <color rgb="FFFFFFFF"/>
      <name val="宋体"/>
      <charset val="134"/>
    </font>
    <font>
      <sz val="9"/>
      <name val="黑体"/>
      <charset val="134"/>
    </font>
    <font>
      <sz val="10"/>
      <name val="华文楷体"/>
      <charset val="134"/>
    </font>
    <font>
      <sz val="12"/>
      <color rgb="FF595959"/>
      <name val="华文楷体"/>
      <charset val="134"/>
    </font>
    <font>
      <sz val="13"/>
      <color rgb="FF000000"/>
      <name val="黑体"/>
      <charset val="134"/>
    </font>
    <font>
      <sz val="14"/>
      <color rgb="FF000000"/>
      <name val="黑体"/>
      <charset val="134"/>
    </font>
    <font>
      <sz val="13"/>
      <color theme="1"/>
      <name val="黑体"/>
      <charset val="134"/>
    </font>
    <font>
      <sz val="10.5"/>
      <color theme="1"/>
      <name val="Calibri"/>
      <charset val="134"/>
    </font>
    <font>
      <sz val="12"/>
      <color theme="1" tint="0.25"/>
      <name val="宋体"/>
      <charset val="134"/>
    </font>
    <font>
      <i/>
      <sz val="12"/>
      <color theme="1" tint="0.25"/>
      <name val="宋体"/>
      <charset val="134"/>
    </font>
    <font>
      <i/>
      <sz val="11"/>
      <color theme="1" tint="0.25"/>
      <name val="宋体"/>
      <charset val="134"/>
    </font>
    <font>
      <sz val="80"/>
      <name val="宋体"/>
      <charset val="134"/>
    </font>
    <font>
      <sz val="100"/>
      <name val="宋体"/>
      <charset val="134"/>
    </font>
    <font>
      <sz val="90"/>
      <name val="方正仿宋_GBK"/>
      <charset val="134"/>
    </font>
    <font>
      <sz val="15"/>
      <name val="宋体"/>
      <charset val="134"/>
    </font>
    <font>
      <sz val="15"/>
      <name val="宋体"/>
      <charset val="134"/>
      <scheme val="minor"/>
    </font>
    <font>
      <sz val="15"/>
      <name val="冬青黑体简体中文"/>
      <charset val="134"/>
    </font>
    <font>
      <sz val="11.5"/>
      <name val="宋体"/>
      <charset val="134"/>
    </font>
    <font>
      <sz val="11.5"/>
      <color rgb="FF262626"/>
      <name val="宋体"/>
      <charset val="134"/>
    </font>
    <font>
      <i/>
      <sz val="10"/>
      <color rgb="FF808080"/>
      <name val="方正仿宋_GB2312"/>
      <charset val="134"/>
    </font>
    <font>
      <sz val="10.5"/>
      <color theme="1"/>
      <name val="宋体"/>
      <charset val="134"/>
      <scheme val="minor"/>
    </font>
    <font>
      <sz val="11.5"/>
      <color rgb="FF404040"/>
      <name val="宋体"/>
      <charset val="134"/>
    </font>
    <font>
      <sz val="10"/>
      <color rgb="FF404040"/>
      <name val="宋体"/>
      <charset val="134"/>
    </font>
    <font>
      <i/>
      <sz val="10"/>
      <color rgb="FF808080"/>
      <name val="方正仿宋_GBK"/>
      <charset val="134"/>
    </font>
    <font>
      <sz val="11.5"/>
      <color rgb="FF262626"/>
      <name val="黑体"/>
      <charset val="134"/>
    </font>
    <font>
      <sz val="10.5"/>
      <name val="宋体"/>
      <charset val="134"/>
      <scheme val="minor"/>
    </font>
    <font>
      <sz val="11.5"/>
      <name val="黑体"/>
      <charset val="134"/>
    </font>
    <font>
      <u/>
      <sz val="11.5"/>
      <color rgb="FFFF0000"/>
      <name val="黑体"/>
      <charset val="134"/>
    </font>
    <font>
      <sz val="11.5"/>
      <color rgb="FFFF0000"/>
      <name val="宋体"/>
      <charset val="134"/>
    </font>
    <font>
      <i/>
      <sz val="10"/>
      <color theme="0"/>
      <name val="方正仿宋_GBK"/>
      <charset val="134"/>
    </font>
    <font>
      <sz val="13"/>
      <color theme="1" tint="0.249977111117893"/>
      <name val="标准粗黑"/>
      <charset val="134"/>
    </font>
    <font>
      <sz val="14"/>
      <name val="宋体"/>
      <charset val="134"/>
    </font>
    <font>
      <sz val="10.5"/>
      <name val="宋体"/>
      <charset val="134"/>
    </font>
    <font>
      <sz val="10.5"/>
      <color theme="0" tint="-0.499984740745262"/>
      <name val="方正仿宋_GBK"/>
      <charset val="134"/>
    </font>
    <font>
      <sz val="9"/>
      <name val="方正仿宋_GBK"/>
      <charset val="134"/>
    </font>
    <font>
      <b/>
      <sz val="10.5"/>
      <color theme="1" tint="0.249977111117893"/>
      <name val="FZFangSong-Z02"/>
      <charset val="0"/>
    </font>
    <font>
      <sz val="10.5"/>
      <color theme="1" tint="0.249977111117893"/>
      <name val="方正仿宋_GBK"/>
      <charset val="0"/>
    </font>
    <font>
      <sz val="12"/>
      <color theme="1"/>
      <name val="标准粗黑"/>
      <charset val="134"/>
    </font>
    <font>
      <sz val="10.5"/>
      <name val="方正仿宋_GBK"/>
      <charset val="0"/>
    </font>
    <font>
      <sz val="10"/>
      <color rgb="FFFF0000"/>
      <name val="宋体"/>
      <charset val="134"/>
      <scheme val="minor"/>
    </font>
    <font>
      <sz val="10"/>
      <color rgb="FFFF8082"/>
      <name val="宋体"/>
      <charset val="134"/>
      <scheme val="minor"/>
    </font>
    <font>
      <sz val="10.5"/>
      <color theme="1" tint="0.499984740745262"/>
      <name val="宋体"/>
      <charset val="134"/>
      <scheme val="minor"/>
    </font>
    <font>
      <sz val="10.5"/>
      <color theme="1"/>
      <name val="方正仿宋_GBK"/>
      <charset val="134"/>
    </font>
    <font>
      <sz val="9"/>
      <color theme="0" tint="-0.5"/>
      <name val="方正仿宋_GBK"/>
      <charset val="134"/>
    </font>
    <font>
      <sz val="24"/>
      <name val="宋体"/>
      <charset val="134"/>
    </font>
    <font>
      <b/>
      <sz val="10.5"/>
      <color theme="1"/>
      <name val="方正仿宋_GBK"/>
      <charset val="134"/>
    </font>
    <font>
      <sz val="26"/>
      <name val="宋体"/>
      <charset val="134"/>
    </font>
    <font>
      <sz val="3"/>
      <name val="方正仿宋_GBK"/>
      <charset val="134"/>
    </font>
    <font>
      <sz val="11"/>
      <color theme="0" tint="-0.5"/>
      <name val="宋体"/>
      <charset val="134"/>
      <scheme val="minor"/>
    </font>
    <font>
      <sz val="12"/>
      <color rgb="FFFF0000"/>
      <name val="标准粗黑"/>
      <charset val="134"/>
    </font>
    <font>
      <sz val="10"/>
      <color theme="0" tint="-0.5"/>
      <name val="宋体"/>
      <charset val="134"/>
      <scheme val="minor"/>
    </font>
    <font>
      <sz val="10"/>
      <color theme="1"/>
      <name val="宋体"/>
      <charset val="134"/>
      <scheme val="minor"/>
    </font>
    <font>
      <sz val="10"/>
      <color rgb="FFFF0000"/>
      <name val="方正仿宋_GBK"/>
      <charset val="134"/>
    </font>
    <font>
      <i/>
      <sz val="8"/>
      <name val="宋体"/>
      <charset val="134"/>
    </font>
    <font>
      <i/>
      <sz val="8"/>
      <color rgb="FFFF0000"/>
      <name val="方正仿宋_GBK"/>
      <charset val="134"/>
    </font>
    <font>
      <i/>
      <sz val="8"/>
      <name val="方正仿宋_GBK"/>
      <charset val="134"/>
    </font>
    <font>
      <i/>
      <sz val="12"/>
      <color theme="0" tint="-0.499984740745262"/>
      <name val="宋体"/>
      <charset val="134"/>
    </font>
    <font>
      <sz val="10.5"/>
      <color rgb="FF000000"/>
      <name val="宋体"/>
      <charset val="134"/>
    </font>
    <font>
      <sz val="12"/>
      <color theme="1" tint="0.149998474074526"/>
      <name val="宋体"/>
      <charset val="134"/>
    </font>
    <font>
      <sz val="10"/>
      <color theme="1"/>
      <name val="仿宋_GB2312"/>
      <charset val="134"/>
    </font>
    <font>
      <i/>
      <sz val="10"/>
      <color theme="1" tint="0.249977111117893"/>
      <name val="方正仿宋_GB2312"/>
      <charset val="134"/>
    </font>
    <font>
      <i/>
      <sz val="9.5"/>
      <name val="宋体"/>
      <charset val="134"/>
    </font>
    <font>
      <i/>
      <sz val="10"/>
      <name val="宋体"/>
      <charset val="134"/>
    </font>
    <font>
      <u/>
      <sz val="11"/>
      <name val="宋体"/>
      <charset val="0"/>
      <scheme val="minor"/>
    </font>
    <font>
      <sz val="16"/>
      <color theme="1"/>
      <name val="黑体"/>
      <charset val="134"/>
    </font>
    <font>
      <sz val="16"/>
      <color theme="1" tint="0.249977111117893"/>
      <name val="方正仿宋_GB2312"/>
      <charset val="134"/>
    </font>
    <font>
      <sz val="10"/>
      <color rgb="FFFF0000"/>
      <name val="文道硬笔行书体"/>
      <charset val="0"/>
    </font>
    <font>
      <sz val="10"/>
      <color theme="1"/>
      <name val="文道硬笔行书体"/>
      <charset val="0"/>
    </font>
    <font>
      <sz val="12"/>
      <color theme="1"/>
      <name val="方正仿宋_GB2312"/>
      <charset val="134"/>
    </font>
    <font>
      <sz val="10"/>
      <color theme="1"/>
      <name val="仿宋"/>
      <charset val="0"/>
    </font>
    <font>
      <sz val="14"/>
      <color rgb="FF333333"/>
      <name val="方正仿宋_GB2312"/>
      <charset val="134"/>
    </font>
    <font>
      <sz val="9"/>
      <color theme="1"/>
      <name val="方正仿宋_GB2312"/>
      <charset val="134"/>
    </font>
    <font>
      <b/>
      <sz val="9"/>
      <color theme="1"/>
      <name val="宋体"/>
      <charset val="134"/>
    </font>
    <font>
      <sz val="14"/>
      <color theme="1"/>
      <name val="微软雅黑"/>
      <charset val="134"/>
    </font>
    <font>
      <sz val="14"/>
      <color theme="1"/>
      <name val="方正仿宋_GB2312"/>
      <charset val="134"/>
    </font>
    <font>
      <sz val="8"/>
      <color theme="1"/>
      <name val="方正仿宋_GB2312"/>
      <charset val="134"/>
    </font>
    <font>
      <sz val="12"/>
      <color theme="9" tint="-0.25"/>
      <name val="宋体"/>
      <charset val="134"/>
    </font>
    <font>
      <sz val="12"/>
      <color rgb="FF000000"/>
      <name val="宋体"/>
      <charset val="134"/>
    </font>
    <font>
      <sz val="14"/>
      <color rgb="FF333333"/>
      <name val="微软雅黑"/>
      <charset val="134"/>
    </font>
    <font>
      <sz val="9"/>
      <color rgb="FF333333"/>
      <name val="方正仿宋_GB2312"/>
      <charset val="134"/>
    </font>
    <font>
      <sz val="8"/>
      <color rgb="FF333333"/>
      <name val="方正仿宋_GB2312"/>
      <charset val="134"/>
    </font>
    <font>
      <sz val="12"/>
      <color theme="1"/>
      <name val="仿宋"/>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0"/>
      <color rgb="FF404040"/>
      <name val="宋体"/>
      <charset val="134"/>
    </font>
    <font>
      <i/>
      <sz val="9"/>
      <color rgb="FF404040"/>
      <name val="宋体"/>
      <charset val="134"/>
    </font>
    <font>
      <sz val="9"/>
      <color rgb="FF808080"/>
      <name val="FZFangSong-Z02"/>
      <charset val="0"/>
    </font>
    <font>
      <b/>
      <i/>
      <u/>
      <sz val="9.5"/>
      <name val="方正仿宋_GBK"/>
      <charset val="134"/>
    </font>
    <font>
      <sz val="3"/>
      <color rgb="FF000000"/>
      <name val="宋体"/>
      <charset val="134"/>
    </font>
    <font>
      <b/>
      <sz val="12"/>
      <color rgb="FF000000"/>
      <name val="宋体"/>
      <charset val="134"/>
    </font>
    <font>
      <sz val="13"/>
      <color rgb="FF000000"/>
      <name val="宋体"/>
      <charset val="134"/>
    </font>
    <font>
      <sz val="12"/>
      <name val="标准粗黑"/>
      <charset val="134"/>
    </font>
    <font>
      <b/>
      <sz val="12"/>
      <color rgb="FF548235"/>
      <name val="黑体"/>
      <charset val="134"/>
    </font>
    <font>
      <b/>
      <sz val="12"/>
      <color rgb="FF548235"/>
      <name val="宋体"/>
      <charset val="134"/>
    </font>
    <font>
      <b/>
      <sz val="12"/>
      <color rgb="FFC00000"/>
      <name val="宋体"/>
      <charset val="134"/>
    </font>
    <font>
      <sz val="11.5"/>
      <color rgb="FF333333"/>
      <name val="黑体"/>
      <charset val="134"/>
    </font>
    <font>
      <sz val="11.5"/>
      <color rgb="FF333333"/>
      <name val="宋体-简"/>
      <charset val="134"/>
    </font>
    <font>
      <sz val="8"/>
      <color theme="1"/>
      <name val="宋体"/>
      <charset val="134"/>
      <scheme val="minor"/>
    </font>
    <font>
      <sz val="10.5"/>
      <color indexed="23"/>
      <name val="方正仿宋_GBK"/>
      <charset val="134"/>
    </font>
    <font>
      <sz val="11"/>
      <color rgb="FFFF0000"/>
      <name val="宋体"/>
      <charset val="134"/>
      <scheme val="minor"/>
    </font>
    <font>
      <b/>
      <sz val="10.5"/>
      <name val="FZFangSong-Z02"/>
      <charset val="134"/>
    </font>
    <font>
      <u/>
      <sz val="12.5"/>
      <color rgb="FFFF0000"/>
      <name val="黑体"/>
      <charset val="134"/>
    </font>
    <font>
      <sz val="5"/>
      <name val="宋体"/>
      <charset val="134"/>
    </font>
    <font>
      <sz val="12"/>
      <color rgb="FFFF0000"/>
      <name val="宋体"/>
      <charset val="134"/>
    </font>
    <font>
      <u/>
      <sz val="12"/>
      <name val="宋体"/>
      <charset val="134"/>
    </font>
    <font>
      <sz val="12.5"/>
      <name val="黑体"/>
      <charset val="134"/>
    </font>
    <font>
      <sz val="3"/>
      <name val="宋体"/>
      <charset val="134"/>
    </font>
    <font>
      <i/>
      <sz val="12"/>
      <name val="黑体"/>
      <charset val="134"/>
    </font>
    <font>
      <i/>
      <sz val="12"/>
      <color theme="0" tint="-0.499984740745262"/>
      <name val="黑体"/>
      <charset val="134"/>
    </font>
    <font>
      <i/>
      <sz val="12"/>
      <color rgb="FF808080"/>
      <name val="宋体"/>
      <charset val="134"/>
    </font>
    <font>
      <i/>
      <sz val="12"/>
      <color rgb="FF808080"/>
      <name val="宋体-简"/>
      <charset val="134"/>
    </font>
    <font>
      <i/>
      <sz val="12"/>
      <name val="标准粗黑"/>
      <charset val="134"/>
    </font>
    <font>
      <i/>
      <sz val="12"/>
      <color rgb="FF969696"/>
      <name val="宋体"/>
      <charset val="134"/>
    </font>
    <font>
      <sz val="4"/>
      <name val="宋体"/>
      <charset val="134"/>
    </font>
    <font>
      <sz val="3"/>
      <name val="宋体"/>
      <charset val="134"/>
      <scheme val="minor"/>
    </font>
    <font>
      <sz val="12"/>
      <color rgb="FFC00000"/>
      <name val="宋体"/>
      <charset val="134"/>
      <scheme val="minor"/>
    </font>
    <font>
      <sz val="12"/>
      <name val="方正仿宋_GBK"/>
      <charset val="134"/>
    </font>
    <font>
      <sz val="12"/>
      <color rgb="FFFF0000"/>
      <name val="宋体"/>
      <charset val="134"/>
      <scheme val="minor"/>
    </font>
    <font>
      <i/>
      <sz val="10.5"/>
      <color rgb="FF808080"/>
      <name val="方正仿宋_GBK"/>
      <charset val="134"/>
    </font>
    <font>
      <i/>
      <sz val="10.5"/>
      <color rgb="FF808080"/>
      <name val="宋体"/>
      <charset val="134"/>
    </font>
    <font>
      <sz val="10.5"/>
      <color theme="1" tint="0.249977111117893"/>
      <name val="FZFangSong-Z02"/>
      <charset val="0"/>
    </font>
    <font>
      <i/>
      <sz val="8.5"/>
      <color rgb="FF808080"/>
      <name val="方正仿宋_GBK"/>
      <charset val="134"/>
    </font>
    <font>
      <sz val="100"/>
      <name val="方正仿宋_GBK"/>
      <charset val="134"/>
    </font>
    <font>
      <sz val="72"/>
      <name val="方正仿宋_GBK"/>
      <charset val="134"/>
    </font>
    <font>
      <i/>
      <sz val="70"/>
      <color theme="1" tint="0.35"/>
      <name val="FZFangSong-Z02"/>
      <charset val="134"/>
    </font>
    <font>
      <i/>
      <sz val="70"/>
      <color theme="1" tint="0.35"/>
      <name val="方正仿宋_GBK"/>
      <charset val="134"/>
    </font>
    <font>
      <sz val="30"/>
      <name val="方正仿宋_GBK"/>
      <charset val="134"/>
    </font>
    <font>
      <sz val="90"/>
      <color rgb="FFFF0000"/>
      <name val="方正仿宋_GBK"/>
      <charset val="134"/>
    </font>
    <font>
      <sz val="9"/>
      <name val="华文楷体"/>
      <charset val="134"/>
    </font>
    <font>
      <sz val="11"/>
      <color indexed="10"/>
      <name val="宋体"/>
      <charset val="134"/>
    </font>
    <font>
      <sz val="10"/>
      <color indexed="55"/>
      <name val="宋体"/>
      <charset val="134"/>
    </font>
    <font>
      <i/>
      <sz val="10"/>
      <color rgb="FFFF0000"/>
      <name val="方正仿宋_GB2312"/>
      <charset val="134"/>
    </font>
    <font>
      <i/>
      <sz val="10"/>
      <color indexed="23"/>
      <name val="宋体"/>
      <charset val="134"/>
    </font>
    <font>
      <sz val="14"/>
      <color indexed="42"/>
      <name val="方正仿宋_GB2312"/>
      <charset val="134"/>
    </font>
    <font>
      <sz val="11"/>
      <color indexed="10"/>
      <name val="华文楷体"/>
      <charset val="134"/>
    </font>
    <font>
      <sz val="3"/>
      <name val="黑体"/>
      <charset val="134"/>
    </font>
    <font>
      <i/>
      <sz val="9.5"/>
      <name val="方正仿宋_GBK"/>
      <charset val="134"/>
    </font>
    <font>
      <u/>
      <sz val="12.5"/>
      <name val="黑体"/>
      <charset val="134"/>
    </font>
    <font>
      <sz val="10.5"/>
      <color theme="1" tint="0.25"/>
      <name val="方正仿宋_GBK"/>
      <charset val="134"/>
    </font>
    <font>
      <sz val="6"/>
      <name val="宋体"/>
      <charset val="134"/>
      <scheme val="minor"/>
    </font>
    <font>
      <u/>
      <sz val="10.5"/>
      <name val="宋体"/>
      <charset val="134"/>
      <scheme val="minor"/>
    </font>
    <font>
      <sz val="11"/>
      <name val="黑体"/>
      <charset val="134"/>
    </font>
    <font>
      <sz val="10.5"/>
      <color theme="1" tint="0.25"/>
      <name val="宋体"/>
      <charset val="134"/>
      <scheme val="minor"/>
    </font>
    <font>
      <sz val="3"/>
      <color theme="1" tint="0.25"/>
      <name val="宋体"/>
      <charset val="134"/>
      <scheme val="minor"/>
    </font>
    <font>
      <sz val="3"/>
      <color theme="1" tint="0.25"/>
      <name val="方正仿宋_GBK"/>
      <charset val="134"/>
    </font>
    <font>
      <sz val="9"/>
      <color rgb="FF000000"/>
      <name val="宋体"/>
      <charset val="134"/>
    </font>
    <font>
      <sz val="16"/>
      <name val="冬青黑体简体中文"/>
      <charset val="134"/>
    </font>
    <font>
      <sz val="10"/>
      <color theme="5" tint="0.4"/>
      <name val="华文楷体"/>
      <charset val="134"/>
    </font>
    <font>
      <i/>
      <sz val="8"/>
      <color theme="5" tint="0.4"/>
      <name val="STKaiti"/>
      <charset val="0"/>
    </font>
    <font>
      <sz val="11"/>
      <color rgb="FF333333"/>
      <name val="华文楷体"/>
      <charset val="134"/>
    </font>
    <font>
      <sz val="11"/>
      <color rgb="FF333333"/>
      <name val="黑体"/>
      <charset val="134"/>
    </font>
    <font>
      <sz val="8.5"/>
      <color rgb="FF333333"/>
      <name val="黑体"/>
      <charset val="134"/>
    </font>
    <font>
      <sz val="8"/>
      <color indexed="10"/>
      <name val="宋体"/>
      <charset val="134"/>
    </font>
    <font>
      <sz val="13"/>
      <name val="方正仿宋_GBK"/>
      <charset val="134"/>
    </font>
    <font>
      <sz val="9.5"/>
      <name val="FZFangSong-Z02"/>
      <charset val="134"/>
    </font>
    <font>
      <sz val="9.5"/>
      <name val="黑体"/>
      <charset val="134"/>
    </font>
    <font>
      <sz val="10"/>
      <name val="黑体"/>
      <charset val="134"/>
    </font>
    <font>
      <sz val="10"/>
      <color rgb="FFFF0000"/>
      <name val="FZFangSong-Z02"/>
      <charset val="134"/>
    </font>
    <font>
      <sz val="10"/>
      <name val="FZFangSong-Z02"/>
      <charset val="134"/>
    </font>
    <font>
      <sz val="9.5"/>
      <color rgb="FFFF0000"/>
      <name val="宋体"/>
      <charset val="134"/>
      <scheme val="minor"/>
    </font>
    <font>
      <sz val="9.5"/>
      <color rgb="FFFF0000"/>
      <name val="黑体"/>
      <charset val="134"/>
    </font>
    <font>
      <sz val="9.5"/>
      <color rgb="FFFF0000"/>
      <name val="宋体"/>
      <charset val="134"/>
    </font>
    <font>
      <sz val="1"/>
      <color rgb="FFFF0000"/>
      <name val="宋体"/>
      <charset val="134"/>
    </font>
    <font>
      <sz val="1"/>
      <name val="宋体"/>
      <charset val="134"/>
    </font>
    <font>
      <sz val="10"/>
      <color indexed="55"/>
      <name val="文道硬笔行书体"/>
      <charset val="0"/>
    </font>
    <font>
      <b/>
      <sz val="9.5"/>
      <color theme="7" tint="-0.25"/>
      <name val="FZFangSong-Z02"/>
      <charset val="134"/>
    </font>
    <font>
      <b/>
      <sz val="9"/>
      <color theme="7" tint="-0.25"/>
      <name val="FZFangSong-Z02"/>
      <charset val="134"/>
    </font>
    <font>
      <b/>
      <sz val="9.5"/>
      <color theme="7" tint="-0.25"/>
      <name val="方正仿宋_GBK"/>
      <charset val="134"/>
    </font>
    <font>
      <i/>
      <sz val="10"/>
      <color rgb="FF808080"/>
      <name val="宋体"/>
      <charset val="134"/>
    </font>
    <font>
      <sz val="2"/>
      <name val="宋体"/>
      <charset val="134"/>
    </font>
    <font>
      <sz val="9"/>
      <color rgb="FFFF0000"/>
      <name val="黑体"/>
      <charset val="134"/>
    </font>
    <font>
      <sz val="8"/>
      <name val="宋体"/>
      <charset val="134"/>
    </font>
    <font>
      <u/>
      <sz val="9"/>
      <color theme="0" tint="-0.5"/>
      <name val="方正仿宋_GBK"/>
      <charset val="134"/>
    </font>
    <font>
      <i/>
      <sz val="10"/>
      <color rgb="FFFF0000"/>
      <name val="宋体"/>
      <charset val="134"/>
    </font>
    <font>
      <i/>
      <sz val="1"/>
      <name val="宋体"/>
      <charset val="134"/>
    </font>
    <font>
      <b/>
      <sz val="10.5"/>
      <color rgb="FF339966"/>
      <name val="方正仿宋_GBK"/>
      <charset val="134"/>
    </font>
    <font>
      <sz val="8"/>
      <color indexed="8"/>
      <name val="标准粗黑"/>
      <charset val="134"/>
    </font>
    <font>
      <sz val="6"/>
      <name val="黑体"/>
      <charset val="134"/>
    </font>
    <font>
      <i/>
      <sz val="9.5"/>
      <color rgb="FFFF0000"/>
      <name val="宋体"/>
      <charset val="134"/>
    </font>
    <font>
      <u/>
      <sz val="12"/>
      <color rgb="FFFF0000"/>
      <name val="宋体"/>
      <charset val="134"/>
    </font>
    <font>
      <sz val="11.5"/>
      <color rgb="FF333333"/>
      <name val="宋体"/>
      <charset val="134"/>
    </font>
    <font>
      <sz val="12.5"/>
      <color rgb="FF333333"/>
      <name val="华文楷体"/>
      <charset val="134"/>
    </font>
    <font>
      <sz val="12.5"/>
      <color rgb="FF333333"/>
      <name val="黑体"/>
      <charset val="134"/>
    </font>
    <font>
      <i/>
      <sz val="3"/>
      <name val="宋体"/>
      <charset val="134"/>
    </font>
    <font>
      <i/>
      <u/>
      <sz val="10"/>
      <name val="宋体"/>
      <charset val="134"/>
    </font>
    <font>
      <sz val="6"/>
      <name val="宋体"/>
      <charset val="134"/>
    </font>
    <font>
      <sz val="16"/>
      <name val="冬青黑体简体中文"/>
      <charset val="0"/>
    </font>
    <font>
      <sz val="10.5"/>
      <color rgb="FFFF0000"/>
      <name val="宋体"/>
      <charset val="134"/>
      <scheme val="minor"/>
    </font>
    <font>
      <u/>
      <sz val="12.5"/>
      <color indexed="10"/>
      <name val="黑体"/>
      <charset val="134"/>
    </font>
    <font>
      <sz val="12.5"/>
      <name val="宋体"/>
      <charset val="134"/>
    </font>
    <font>
      <i/>
      <sz val="2"/>
      <name val="FZFangSong-Z02"/>
      <charset val="0"/>
    </font>
    <font>
      <sz val="2"/>
      <name val="FZFangSong-Z02"/>
      <charset val="0"/>
    </font>
    <font>
      <sz val="10"/>
      <name val="方正仿宋_GBK"/>
      <charset val="0"/>
    </font>
    <font>
      <sz val="8"/>
      <name val="方正仿宋_GBK"/>
      <charset val="0"/>
    </font>
    <font>
      <sz val="12"/>
      <color theme="9" tint="-0.25"/>
      <name val="宋体"/>
      <charset val="134"/>
      <scheme val="minor"/>
    </font>
    <font>
      <sz val="8"/>
      <name val="宋体"/>
      <charset val="134"/>
      <scheme val="minor"/>
    </font>
    <font>
      <sz val="9.5"/>
      <name val="宋体"/>
      <charset val="134"/>
      <scheme val="minor"/>
    </font>
    <font>
      <i/>
      <sz val="10"/>
      <color rgb="FF808080"/>
      <name val="宋体"/>
      <charset val="134"/>
      <scheme val="minor"/>
    </font>
    <font>
      <i/>
      <sz val="10.5"/>
      <color theme="0" tint="-0.5"/>
      <name val="方正仿宋_GBK"/>
      <charset val="134"/>
    </font>
    <font>
      <i/>
      <sz val="10.5"/>
      <color rgb="FF808080"/>
      <name val="宋体"/>
      <charset val="134"/>
      <scheme val="minor"/>
    </font>
    <font>
      <b/>
      <i/>
      <sz val="10.5"/>
      <name val="方正仿宋_GBK"/>
      <charset val="134"/>
    </font>
    <font>
      <i/>
      <sz val="10.5"/>
      <color theme="0" tint="-0.5"/>
      <name val="FZFangSong-Z02"/>
      <charset val="134"/>
    </font>
    <font>
      <b/>
      <sz val="10"/>
      <color theme="5" tint="0.4"/>
      <name val="STKaiti"/>
      <charset val="134"/>
    </font>
    <font>
      <sz val="10"/>
      <color theme="5" tint="0.4"/>
      <name val="STKaiti"/>
      <charset val="134"/>
    </font>
    <font>
      <i/>
      <sz val="8"/>
      <color theme="5" tint="0.4"/>
      <name val="STKaiti"/>
      <charset val="134"/>
    </font>
    <font>
      <sz val="9"/>
      <color theme="5" tint="0.4"/>
      <name val="FZFangSong-Z02"/>
      <charset val="0"/>
    </font>
    <font>
      <i/>
      <sz val="8.5"/>
      <color rgb="FF808080"/>
      <name val="宋体"/>
      <charset val="134"/>
    </font>
    <font>
      <u/>
      <sz val="11"/>
      <color theme="0" tint="-0.5"/>
      <name val="宋体"/>
      <charset val="134"/>
      <scheme val="minor"/>
    </font>
    <font>
      <i/>
      <sz val="12"/>
      <name val="FZFangSong-Z02"/>
      <charset val="134"/>
    </font>
    <font>
      <u/>
      <sz val="11"/>
      <color rgb="FF000000"/>
      <name val="黑体"/>
      <charset val="134"/>
    </font>
    <font>
      <sz val="11"/>
      <color rgb="FF000000"/>
      <name val="宋体"/>
      <charset val="134"/>
      <scheme val="minor"/>
    </font>
    <font>
      <b/>
      <sz val="11"/>
      <color rgb="FF000000"/>
      <name val="黑体"/>
      <charset val="134"/>
    </font>
    <font>
      <b/>
      <sz val="11"/>
      <color rgb="FF000000"/>
      <name val="Arial"/>
      <charset val="134"/>
    </font>
    <font>
      <sz val="11"/>
      <color rgb="FF333333"/>
      <name val="宋体"/>
      <charset val="134"/>
    </font>
    <font>
      <sz val="12"/>
      <color indexed="8"/>
      <name val="宋体"/>
      <charset val="134"/>
    </font>
    <font>
      <sz val="12.5"/>
      <color rgb="FF333333"/>
      <name val="宋体"/>
      <charset val="134"/>
    </font>
    <font>
      <sz val="10"/>
      <color indexed="23"/>
      <name val="方正仿宋_GBK"/>
      <charset val="134"/>
    </font>
    <font>
      <i/>
      <u/>
      <sz val="10"/>
      <color indexed="23"/>
      <name val="方正仿宋_GBK"/>
      <charset val="134"/>
    </font>
    <font>
      <i/>
      <sz val="2"/>
      <color indexed="23"/>
      <name val="宋体"/>
      <charset val="134"/>
    </font>
    <font>
      <sz val="10"/>
      <color indexed="23"/>
      <name val="文道硬笔行书体"/>
      <charset val="0"/>
    </font>
    <font>
      <sz val="9"/>
      <name val="宋体"/>
      <charset val="134"/>
      <scheme val="minor"/>
    </font>
    <font>
      <sz val="10.5"/>
      <name val="FZFangSong-Z02"/>
      <charset val="0"/>
    </font>
    <font>
      <sz val="11"/>
      <name val="宋体"/>
      <charset val="0"/>
      <scheme val="minor"/>
    </font>
    <font>
      <sz val="10.5"/>
      <color theme="1"/>
      <name val="SimSun"/>
      <charset val="134"/>
    </font>
    <font>
      <sz val="10"/>
      <color rgb="FF000000"/>
      <name val="宋体"/>
      <charset val="134"/>
    </font>
    <font>
      <sz val="2"/>
      <color rgb="FF000000"/>
      <name val="宋体"/>
      <charset val="134"/>
    </font>
    <font>
      <sz val="14"/>
      <name val="冬青黑体简体中文"/>
      <charset val="134"/>
    </font>
    <font>
      <sz val="14"/>
      <name val="标准粗黑"/>
      <charset val="134"/>
    </font>
  </fonts>
  <fills count="43">
    <fill>
      <patternFill patternType="none"/>
    </fill>
    <fill>
      <patternFill patternType="gray125"/>
    </fill>
    <fill>
      <patternFill patternType="solid">
        <fgColor rgb="FFFCEDE3"/>
        <bgColor indexed="64"/>
      </patternFill>
    </fill>
    <fill>
      <patternFill patternType="solid">
        <fgColor rgb="FFFFF7D9"/>
        <bgColor indexed="64"/>
      </patternFill>
    </fill>
    <fill>
      <patternFill patternType="solid">
        <fgColor rgb="FFFCF0E8"/>
        <bgColor indexed="64"/>
      </patternFill>
    </fill>
    <fill>
      <patternFill patternType="solid">
        <fgColor rgb="FFF2F2F2"/>
        <bgColor indexed="64"/>
      </patternFill>
    </fill>
    <fill>
      <patternFill patternType="solid">
        <fgColor rgb="FFEAF0E7"/>
        <bgColor indexed="64"/>
      </patternFill>
    </fill>
    <fill>
      <patternFill patternType="solid">
        <fgColor rgb="FFD2EFBF"/>
        <bgColor indexed="64"/>
      </patternFill>
    </fill>
    <fill>
      <patternFill patternType="solid">
        <fgColor rgb="FFE2EFDA"/>
        <bgColor indexed="64"/>
      </patternFill>
    </fill>
    <fill>
      <patternFill patternType="solid">
        <fgColor rgb="FFFFF9E6"/>
        <bgColor indexed="64"/>
      </patternFill>
    </fill>
    <fill>
      <patternFill patternType="solid">
        <fgColor theme="0" tint="-0.05"/>
        <bgColor indexed="64"/>
      </patternFill>
    </fill>
    <fill>
      <patternFill patternType="solid">
        <fgColor rgb="FFFCECE3"/>
        <bgColor indexed="64"/>
      </patternFill>
    </fill>
    <fill>
      <patternFill patternType="solid">
        <fgColor theme="9" tint="0.799981688894314"/>
        <bgColor indexed="64"/>
      </patternFill>
    </fill>
    <fill>
      <patternFill patternType="solid">
        <fgColor theme="5" tint="0.799981688894314"/>
        <bgColor indexed="64"/>
      </patternFill>
    </fill>
    <fill>
      <patternFill patternType="solid">
        <fgColor rgb="FFFAEBED"/>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63">
    <border>
      <left/>
      <right/>
      <top/>
      <bottom/>
      <diagonal/>
    </border>
    <border>
      <left style="thin">
        <color auto="1"/>
      </left>
      <right/>
      <top/>
      <bottom/>
      <diagonal/>
    </border>
    <border>
      <left style="thin">
        <color theme="0"/>
      </left>
      <right/>
      <top/>
      <bottom/>
      <diagonal/>
    </border>
    <border>
      <left/>
      <right/>
      <top style="thin">
        <color theme="0"/>
      </top>
      <bottom/>
      <diagonal/>
    </border>
    <border>
      <left/>
      <right/>
      <top style="medium">
        <color auto="1"/>
      </top>
      <bottom/>
      <diagonal/>
    </border>
    <border>
      <left/>
      <right/>
      <top style="medium">
        <color auto="1"/>
      </top>
      <bottom style="thin">
        <color auto="1"/>
      </bottom>
      <diagonal/>
    </border>
    <border>
      <left/>
      <right/>
      <top style="thin">
        <color auto="1"/>
      </top>
      <bottom/>
      <diagonal/>
    </border>
    <border>
      <left/>
      <right/>
      <top style="thin">
        <color theme="0" tint="-0.499984740745262"/>
      </top>
      <bottom/>
      <diagonal/>
    </border>
    <border>
      <left/>
      <right/>
      <top/>
      <bottom style="thin">
        <color theme="0" tint="-0.499984740745262"/>
      </bottom>
      <diagonal/>
    </border>
    <border>
      <left/>
      <right/>
      <top/>
      <bottom style="thin">
        <color theme="0"/>
      </bottom>
      <diagonal/>
    </border>
    <border>
      <left/>
      <right/>
      <top/>
      <bottom style="thin">
        <color auto="1"/>
      </bottom>
      <diagonal/>
    </border>
    <border>
      <left/>
      <right/>
      <top/>
      <bottom style="medium">
        <color auto="1"/>
      </bottom>
      <diagonal/>
    </border>
    <border>
      <left/>
      <right/>
      <top style="thin">
        <color theme="1" tint="0.499984740745262"/>
      </top>
      <bottom/>
      <diagonal/>
    </border>
    <border>
      <left/>
      <right/>
      <top style="thin">
        <color rgb="FF000000"/>
      </top>
      <bottom/>
      <diagonal/>
    </border>
    <border>
      <left style="thin">
        <color auto="1"/>
      </left>
      <right/>
      <top style="thin">
        <color auto="1"/>
      </top>
      <bottom/>
      <diagonal/>
    </border>
    <border>
      <left/>
      <right style="thin">
        <color auto="1"/>
      </right>
      <top style="thin">
        <color auto="1"/>
      </top>
      <bottom/>
      <diagonal/>
    </border>
    <border>
      <left style="slantDashDot">
        <color rgb="FFFF0000"/>
      </left>
      <right/>
      <top style="slantDashDot">
        <color rgb="FFFF0000"/>
      </top>
      <bottom/>
      <diagonal/>
    </border>
    <border>
      <left/>
      <right/>
      <top style="slantDashDot">
        <color rgb="FFFF0000"/>
      </top>
      <bottom/>
      <diagonal/>
    </border>
    <border>
      <left/>
      <right style="slantDashDot">
        <color rgb="FFFF0000"/>
      </right>
      <top style="slantDashDot">
        <color rgb="FFFF0000"/>
      </top>
      <bottom/>
      <diagonal/>
    </border>
    <border>
      <left style="thick">
        <color auto="1"/>
      </left>
      <right/>
      <top/>
      <bottom/>
      <diagonal/>
    </border>
    <border>
      <left style="mediumDashed">
        <color auto="1"/>
      </left>
      <right/>
      <top/>
      <bottom/>
      <diagonal/>
    </border>
    <border>
      <left style="thin">
        <color auto="1"/>
      </left>
      <right/>
      <top/>
      <bottom style="thin">
        <color auto="1"/>
      </bottom>
      <diagonal/>
    </border>
    <border>
      <left/>
      <right style="thin">
        <color auto="1"/>
      </right>
      <top/>
      <bottom style="thin">
        <color auto="1"/>
      </bottom>
      <diagonal/>
    </border>
    <border>
      <left style="slantDashDot">
        <color rgb="FFFF0000"/>
      </left>
      <right/>
      <top/>
      <bottom/>
      <diagonal/>
    </border>
    <border>
      <left/>
      <right style="slantDashDot">
        <color rgb="FFFF0000"/>
      </right>
      <top/>
      <bottom/>
      <diagonal/>
    </border>
    <border>
      <left style="thick">
        <color auto="1"/>
      </left>
      <right style="thin">
        <color rgb="FFFFFFFF"/>
      </right>
      <top/>
      <bottom/>
      <diagonal/>
    </border>
    <border>
      <left style="medium">
        <color rgb="FF000000"/>
      </left>
      <right/>
      <top/>
      <bottom/>
      <diagonal/>
    </border>
    <border>
      <left style="slantDashDot">
        <color rgb="FF808080"/>
      </left>
      <right/>
      <top/>
      <bottom/>
      <diagonal/>
    </border>
    <border>
      <left/>
      <right style="medium">
        <color auto="1"/>
      </right>
      <top style="medium">
        <color auto="1"/>
      </top>
      <bottom/>
      <diagonal/>
    </border>
    <border>
      <left style="slantDashDot">
        <color rgb="FF808080"/>
      </left>
      <right/>
      <top style="slantDashDot">
        <color rgb="FF808080"/>
      </top>
      <bottom/>
      <diagonal/>
    </border>
    <border>
      <left/>
      <right/>
      <top style="slantDashDot">
        <color rgb="FF808080"/>
      </top>
      <bottom/>
      <diagonal/>
    </border>
    <border>
      <left/>
      <right style="medium">
        <color auto="1"/>
      </right>
      <top/>
      <bottom style="medium">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style="thin">
        <color rgb="FFFFFFFF"/>
      </right>
      <top/>
      <bottom style="thick">
        <color theme="1" tint="0.25"/>
      </bottom>
      <diagonal/>
    </border>
    <border>
      <left/>
      <right/>
      <top/>
      <bottom style="thick">
        <color theme="1" tint="0.25"/>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medium">
        <color auto="1"/>
      </left>
      <right/>
      <top/>
      <bottom/>
      <diagonal/>
    </border>
    <border>
      <left/>
      <right style="thin">
        <color auto="1"/>
      </right>
      <top/>
      <bottom/>
      <diagonal/>
    </border>
    <border>
      <left style="medium">
        <color auto="1"/>
      </left>
      <right/>
      <top/>
      <bottom style="medium">
        <color auto="1"/>
      </bottom>
      <diagonal/>
    </border>
    <border>
      <left/>
      <right/>
      <top style="medium">
        <color rgb="FF000000"/>
      </top>
      <bottom/>
      <diagonal/>
    </border>
    <border>
      <left style="slantDashDot">
        <color rgb="FFFF0000"/>
      </left>
      <right/>
      <top/>
      <bottom style="slantDashDot">
        <color rgb="FFFF0000"/>
      </bottom>
      <diagonal/>
    </border>
    <border>
      <left/>
      <right/>
      <top/>
      <bottom style="slantDashDot">
        <color rgb="FFFF0000"/>
      </bottom>
      <diagonal/>
    </border>
    <border>
      <left/>
      <right style="slantDashDot">
        <color rgb="FFFF0000"/>
      </right>
      <top/>
      <bottom style="slantDashDot">
        <color rgb="FFFF0000"/>
      </bottom>
      <diagonal/>
    </border>
    <border>
      <left style="medium">
        <color rgb="FF808080"/>
      </left>
      <right/>
      <top style="medium">
        <color rgb="FF808080"/>
      </top>
      <bottom/>
      <diagonal/>
    </border>
    <border>
      <left style="thin">
        <color rgb="FFBFBFBF"/>
      </left>
      <right style="thin">
        <color rgb="FFBFBFBF"/>
      </right>
      <top style="medium">
        <color rgb="FF808080"/>
      </top>
      <bottom/>
      <diagonal/>
    </border>
    <border>
      <left/>
      <right/>
      <top style="medium">
        <color rgb="FF808080"/>
      </top>
      <bottom/>
      <diagonal/>
    </border>
    <border>
      <left/>
      <right style="medium">
        <color rgb="FF808080"/>
      </right>
      <top style="medium">
        <color rgb="FF808080"/>
      </top>
      <bottom/>
      <diagonal/>
    </border>
    <border>
      <left style="medium">
        <color rgb="FF808080"/>
      </left>
      <right/>
      <top/>
      <bottom/>
      <diagonal/>
    </border>
    <border>
      <left style="thin">
        <color rgb="FFBFBFBF"/>
      </left>
      <right style="thin">
        <color rgb="FFBFBFBF"/>
      </right>
      <top/>
      <bottom/>
      <diagonal/>
    </border>
    <border>
      <left/>
      <right style="medium">
        <color rgb="FF808080"/>
      </right>
      <top/>
      <bottom/>
      <diagonal/>
    </border>
    <border>
      <left/>
      <right style="medium">
        <color rgb="FF808080"/>
      </right>
      <top/>
      <bottom style="thin">
        <color auto="1"/>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top style="medium">
        <color rgb="FFA9D08E"/>
      </top>
      <bottom/>
      <diagonal/>
    </border>
    <border>
      <left/>
      <right style="medium">
        <color rgb="FFA9D08E"/>
      </right>
      <top style="medium">
        <color rgb="FFA9D08E"/>
      </top>
      <bottom/>
      <diagonal/>
    </border>
    <border>
      <left/>
      <right/>
      <top style="dotted">
        <color rgb="FFA9D08E"/>
      </top>
      <bottom style="dotted">
        <color rgb="FFA9D08E"/>
      </bottom>
      <diagonal/>
    </border>
    <border>
      <left/>
      <right/>
      <top style="dotted">
        <color rgb="FFA9D08E"/>
      </top>
      <bottom/>
      <diagonal/>
    </border>
    <border>
      <left/>
      <right style="dotted">
        <color rgb="FFA9D08E"/>
      </right>
      <top style="dotted">
        <color rgb="FFA9D08E"/>
      </top>
      <bottom/>
      <diagonal/>
    </border>
    <border>
      <left/>
      <right style="medium">
        <color rgb="FFA9D08E"/>
      </right>
      <top/>
      <bottom/>
      <diagonal/>
    </border>
    <border>
      <left style="thick">
        <color auto="1"/>
      </left>
      <right/>
      <top style="medium">
        <color theme="1" tint="0.35"/>
      </top>
      <bottom/>
      <diagonal/>
    </border>
    <border>
      <left/>
      <right/>
      <top style="medium">
        <color theme="1" tint="0.35"/>
      </top>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style="dotted">
        <color rgb="FFA9D08E"/>
      </left>
      <right/>
      <top/>
      <bottom/>
      <diagonal/>
    </border>
    <border>
      <left/>
      <right style="dotted">
        <color rgb="FFA9D08E"/>
      </right>
      <top/>
      <bottom/>
      <diagonal/>
    </border>
    <border>
      <left style="thin">
        <color rgb="FFBFBFBF"/>
      </left>
      <right style="thin">
        <color rgb="FFBFBFBF"/>
      </right>
      <top/>
      <bottom style="thin">
        <color rgb="FFBFBFBF"/>
      </bottom>
      <diagonal/>
    </border>
    <border>
      <left/>
      <right/>
      <top/>
      <bottom style="thin">
        <color rgb="FFBFBFBF"/>
      </bottom>
      <diagonal/>
    </border>
    <border>
      <left/>
      <right/>
      <top/>
      <bottom style="dotted">
        <color rgb="FFFF0000"/>
      </bottom>
      <diagonal/>
    </border>
    <border>
      <left/>
      <right/>
      <top/>
      <bottom style="medium">
        <color rgb="FFA9D08E"/>
      </bottom>
      <diagonal/>
    </border>
    <border>
      <left/>
      <right style="medium">
        <color rgb="FFA9D08E"/>
      </right>
      <top/>
      <bottom style="medium">
        <color rgb="FFA9D08E"/>
      </bottom>
      <diagonal/>
    </border>
    <border>
      <left/>
      <right style="medium">
        <color rgb="FF808080"/>
      </right>
      <top/>
      <bottom style="medium">
        <color rgb="FFA9D08E"/>
      </bottom>
      <diagonal/>
    </border>
    <border>
      <left/>
      <right/>
      <top style="thin">
        <color rgb="FFFFFFFF"/>
      </top>
      <bottom style="thin">
        <color auto="1"/>
      </bottom>
      <diagonal/>
    </border>
    <border>
      <left style="medium">
        <color rgb="FF808080"/>
      </left>
      <right/>
      <top style="thin">
        <color rgb="FFBFBFBF"/>
      </top>
      <bottom/>
      <diagonal/>
    </border>
    <border>
      <left style="medium">
        <color rgb="FF808080"/>
      </left>
      <right/>
      <top/>
      <bottom style="thin">
        <color rgb="FFBFBFBF"/>
      </bottom>
      <diagonal/>
    </border>
    <border>
      <left style="thin">
        <color rgb="FFBFBFBF"/>
      </left>
      <right/>
      <top/>
      <bottom/>
      <diagonal/>
    </border>
    <border>
      <left style="thin">
        <color rgb="FFFFFFFF"/>
      </left>
      <right/>
      <top style="thin">
        <color auto="1"/>
      </top>
      <bottom/>
      <diagonal/>
    </border>
    <border>
      <left style="thin">
        <color rgb="FFFFFFFF"/>
      </left>
      <right/>
      <top/>
      <bottom/>
      <diagonal/>
    </border>
    <border>
      <left/>
      <right style="thin">
        <color theme="0"/>
      </right>
      <top style="thin">
        <color auto="1"/>
      </top>
      <bottom/>
      <diagonal/>
    </border>
    <border>
      <left/>
      <right style="thin">
        <color theme="0"/>
      </right>
      <top/>
      <bottom/>
      <diagonal/>
    </border>
    <border>
      <left/>
      <right/>
      <top style="thin">
        <color rgb="FFFFFFFF"/>
      </top>
      <bottom style="thin">
        <color rgb="FFFFFFFF"/>
      </bottom>
      <diagonal/>
    </border>
    <border>
      <left/>
      <right style="thin">
        <color theme="0"/>
      </right>
      <top style="thin">
        <color theme="0"/>
      </top>
      <bottom style="thin">
        <color auto="1"/>
      </bottom>
      <diagonal/>
    </border>
    <border>
      <left/>
      <right/>
      <top style="thin">
        <color theme="0"/>
      </top>
      <bottom style="thin">
        <color auto="1"/>
      </bottom>
      <diagonal/>
    </border>
    <border>
      <left/>
      <right style="thin">
        <color theme="0"/>
      </right>
      <top/>
      <bottom style="thin">
        <color theme="0"/>
      </bottom>
      <diagonal/>
    </border>
    <border>
      <left/>
      <right style="thin">
        <color theme="0"/>
      </right>
      <top style="thin">
        <color theme="0"/>
      </top>
      <bottom style="thin">
        <color theme="0"/>
      </bottom>
      <diagonal/>
    </border>
    <border>
      <left/>
      <right/>
      <top style="thin">
        <color theme="0"/>
      </top>
      <bottom style="thin">
        <color theme="0"/>
      </bottom>
      <diagonal/>
    </border>
    <border>
      <left/>
      <right style="thin">
        <color theme="0"/>
      </right>
      <top style="thin">
        <color theme="0"/>
      </top>
      <bottom/>
      <diagonal/>
    </border>
    <border>
      <left style="thin">
        <color rgb="FFFFFFFF"/>
      </left>
      <right/>
      <top/>
      <bottom style="thin">
        <color auto="1"/>
      </bottom>
      <diagonal/>
    </border>
    <border>
      <left/>
      <right/>
      <top style="thin">
        <color rgb="FFFFFFFF"/>
      </top>
      <bottom/>
      <diagonal/>
    </border>
    <border>
      <left/>
      <right style="thin">
        <color theme="0"/>
      </right>
      <top style="thin">
        <color auto="1"/>
      </top>
      <bottom style="thin">
        <color theme="0"/>
      </bottom>
      <diagonal/>
    </border>
    <border>
      <left/>
      <right/>
      <top style="thin">
        <color auto="1"/>
      </top>
      <bottom style="thin">
        <color theme="0"/>
      </bottom>
      <diagonal/>
    </border>
    <border>
      <left/>
      <right/>
      <top/>
      <bottom style="thin">
        <color rgb="FFFFFFFF"/>
      </bottom>
      <diagonal/>
    </border>
    <border>
      <left style="thin">
        <color theme="0"/>
      </left>
      <right/>
      <top/>
      <bottom style="thin">
        <color theme="0"/>
      </bottom>
      <diagonal/>
    </border>
    <border>
      <left style="thin">
        <color theme="0"/>
      </left>
      <right/>
      <top style="thin">
        <color theme="0"/>
      </top>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style="thin">
        <color theme="0"/>
      </right>
      <top style="thin">
        <color theme="0"/>
      </top>
      <bottom style="thin">
        <color auto="1"/>
      </bottom>
      <diagonal/>
    </border>
    <border>
      <left style="thin">
        <color theme="0"/>
      </left>
      <right/>
      <top style="thin">
        <color theme="0"/>
      </top>
      <bottom style="thin">
        <color auto="1"/>
      </bottom>
      <diagonal/>
    </border>
    <border>
      <left/>
      <right style="thin">
        <color auto="1"/>
      </right>
      <top style="thin">
        <color rgb="FF000000"/>
      </top>
      <bottom/>
      <diagonal/>
    </border>
    <border>
      <left style="thin">
        <color theme="0"/>
      </left>
      <right style="thin">
        <color theme="0"/>
      </right>
      <top/>
      <bottom/>
      <diagonal/>
    </border>
    <border>
      <left style="thin">
        <color theme="0"/>
      </left>
      <right style="thin">
        <color auto="1"/>
      </right>
      <top/>
      <bottom/>
      <diagonal/>
    </border>
    <border>
      <left/>
      <right/>
      <top style="thin">
        <color theme="0"/>
      </top>
      <bottom style="thin">
        <color rgb="FFFCEDE3"/>
      </bottom>
      <diagonal/>
    </border>
    <border>
      <left/>
      <right/>
      <top style="thin">
        <color rgb="FFFCEDE3"/>
      </top>
      <bottom style="thin">
        <color rgb="FFFCEDE3"/>
      </bottom>
      <diagonal/>
    </border>
    <border>
      <left/>
      <right/>
      <top style="thin">
        <color theme="0" tint="-0.25"/>
      </top>
      <bottom/>
      <diagonal/>
    </border>
    <border>
      <left/>
      <right/>
      <top style="thin">
        <color rgb="FFFCEDE3"/>
      </top>
      <bottom/>
      <diagonal/>
    </border>
    <border>
      <left/>
      <right/>
      <top style="medium">
        <color theme="1" tint="0.5"/>
      </top>
      <bottom/>
      <diagonal/>
    </border>
    <border>
      <left/>
      <right style="medium">
        <color theme="1" tint="0.5"/>
      </right>
      <top style="medium">
        <color theme="1" tint="0.5"/>
      </top>
      <bottom/>
      <diagonal/>
    </border>
    <border>
      <left/>
      <right style="medium">
        <color theme="1" tint="0.5"/>
      </right>
      <top/>
      <bottom/>
      <diagonal/>
    </border>
    <border>
      <left/>
      <right style="thin">
        <color theme="0" tint="-0.15"/>
      </right>
      <top style="medium">
        <color rgb="FF808080"/>
      </top>
      <bottom style="thin">
        <color theme="0" tint="-0.15"/>
      </bottom>
      <diagonal/>
    </border>
    <border>
      <left style="thin">
        <color theme="0" tint="-0.15"/>
      </left>
      <right/>
      <top style="medium">
        <color rgb="FF808080"/>
      </top>
      <bottom style="thin">
        <color theme="0" tint="-0.15"/>
      </bottom>
      <diagonal/>
    </border>
    <border>
      <left/>
      <right style="thin">
        <color theme="0" tint="-0.15"/>
      </right>
      <top style="thin">
        <color theme="0" tint="-0.15"/>
      </top>
      <bottom style="thin">
        <color theme="0" tint="-0.15"/>
      </bottom>
      <diagonal/>
    </border>
    <border>
      <left style="thin">
        <color theme="0" tint="-0.15"/>
      </left>
      <right/>
      <top style="thin">
        <color theme="0" tint="-0.15"/>
      </top>
      <bottom style="thin">
        <color theme="0" tint="-0.15"/>
      </bottom>
      <diagonal/>
    </border>
    <border>
      <left/>
      <right/>
      <top/>
      <bottom style="medium">
        <color theme="7" tint="0.4"/>
      </bottom>
      <diagonal/>
    </border>
    <border>
      <left/>
      <right style="thin">
        <color rgb="FFFFFFFF"/>
      </right>
      <top/>
      <bottom/>
      <diagonal/>
    </border>
    <border>
      <left style="thin">
        <color auto="1"/>
      </left>
      <right/>
      <top/>
      <bottom style="medium">
        <color auto="1"/>
      </bottom>
      <diagonal/>
    </border>
    <border>
      <left/>
      <right style="thin">
        <color auto="1"/>
      </right>
      <top/>
      <bottom style="medium">
        <color auto="1"/>
      </bottom>
      <diagonal/>
    </border>
    <border>
      <left style="thin">
        <color theme="0"/>
      </left>
      <right/>
      <top/>
      <bottom style="thin">
        <color rgb="FFFFFFFF"/>
      </bottom>
      <diagonal/>
    </border>
    <border>
      <left style="thin">
        <color theme="0" tint="-0.15"/>
      </left>
      <right/>
      <top style="thin">
        <color theme="0" tint="-0.15"/>
      </top>
      <bottom/>
      <diagonal/>
    </border>
    <border>
      <left style="medium">
        <color rgb="FF808080"/>
      </left>
      <right/>
      <top/>
      <bottom style="medium">
        <color rgb="FF808080"/>
      </bottom>
      <diagonal/>
    </border>
    <border>
      <left/>
      <right/>
      <top/>
      <bottom style="medium">
        <color rgb="FF808080"/>
      </bottom>
      <diagonal/>
    </border>
    <border>
      <left/>
      <right style="medium">
        <color rgb="FF808080"/>
      </right>
      <top/>
      <bottom style="medium">
        <color rgb="FF808080"/>
      </bottom>
      <diagonal/>
    </border>
    <border>
      <left/>
      <right style="thin">
        <color theme="0" tint="-0.15"/>
      </right>
      <top style="thin">
        <color theme="0" tint="-0.15"/>
      </top>
      <bottom style="medium">
        <color rgb="FF808080"/>
      </bottom>
      <diagonal/>
    </border>
    <border>
      <left style="thin">
        <color theme="0" tint="-0.15"/>
      </left>
      <right/>
      <top style="thin">
        <color theme="0" tint="-0.15"/>
      </top>
      <bottom style="medium">
        <color rgb="FF808080"/>
      </bottom>
      <diagonal/>
    </border>
    <border>
      <left style="slantDashDot">
        <color theme="0" tint="-0.499984740745262"/>
      </left>
      <right/>
      <top style="slantDashDot">
        <color theme="0" tint="-0.499984740745262"/>
      </top>
      <bottom/>
      <diagonal/>
    </border>
    <border>
      <left/>
      <right/>
      <top style="slantDashDot">
        <color theme="0" tint="-0.499984740745262"/>
      </top>
      <bottom/>
      <diagonal/>
    </border>
    <border>
      <left/>
      <right style="slantDashDot">
        <color theme="0" tint="-0.499984740745262"/>
      </right>
      <top style="slantDashDot">
        <color theme="0" tint="-0.499984740745262"/>
      </top>
      <bottom/>
      <diagonal/>
    </border>
    <border>
      <left/>
      <right/>
      <top/>
      <bottom style="dotted">
        <color auto="1"/>
      </bottom>
      <diagonal/>
    </border>
    <border>
      <left/>
      <right/>
      <top style="dotted">
        <color auto="1"/>
      </top>
      <bottom/>
      <diagonal/>
    </border>
    <border>
      <left style="slantDashDot">
        <color theme="0" tint="-0.499984740745262"/>
      </left>
      <right/>
      <top style="dotted">
        <color auto="1"/>
      </top>
      <bottom/>
      <diagonal/>
    </border>
    <border>
      <left style="dotted">
        <color auto="1"/>
      </left>
      <right style="slantDashDot">
        <color theme="0" tint="-0.499984740745262"/>
      </right>
      <top style="dotted">
        <color auto="1"/>
      </top>
      <bottom/>
      <diagonal/>
    </border>
    <border>
      <left style="slantDashDot">
        <color theme="0" tint="-0.499984740745262"/>
      </left>
      <right/>
      <top/>
      <bottom style="dotted">
        <color auto="1"/>
      </bottom>
      <diagonal/>
    </border>
    <border>
      <left style="dotted">
        <color auto="1"/>
      </left>
      <right style="slantDashDot">
        <color theme="0" tint="-0.499984740745262"/>
      </right>
      <top/>
      <bottom/>
      <diagonal/>
    </border>
    <border>
      <left/>
      <right/>
      <top style="dotted">
        <color auto="1"/>
      </top>
      <bottom style="dotted">
        <color auto="1"/>
      </bottom>
      <diagonal/>
    </border>
    <border>
      <left/>
      <right style="slantDashDot">
        <color theme="0" tint="-0.499984740745262"/>
      </right>
      <top/>
      <bottom/>
      <diagonal/>
    </border>
    <border>
      <left style="dotted">
        <color auto="1"/>
      </left>
      <right style="slantDashDot">
        <color theme="0" tint="-0.499984740745262"/>
      </right>
      <top/>
      <bottom style="dotted">
        <color auto="1"/>
      </bottom>
      <diagonal/>
    </border>
    <border>
      <left style="slantDashDot">
        <color theme="0" tint="-0.499984740745262"/>
      </left>
      <right/>
      <top/>
      <bottom style="slantDashDot">
        <color theme="0" tint="-0.499984740745262"/>
      </bottom>
      <diagonal/>
    </border>
    <border>
      <left/>
      <right/>
      <top/>
      <bottom style="slantDashDot">
        <color theme="0" tint="-0.499984740745262"/>
      </bottom>
      <diagonal/>
    </border>
    <border>
      <left/>
      <right style="slantDashDot">
        <color theme="0" tint="-0.499984740745262"/>
      </right>
      <top/>
      <bottom style="slantDashDot">
        <color theme="0" tint="-0.49998474074526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6" fillId="0" borderId="0" applyNumberFormat="0" applyFill="0" applyBorder="0" applyAlignment="0" applyProtection="0">
      <alignment vertical="center"/>
    </xf>
    <xf numFmtId="0" fontId="157" fillId="0" borderId="0" applyNumberFormat="0" applyFill="0" applyBorder="0" applyAlignment="0" applyProtection="0">
      <alignment vertical="center"/>
    </xf>
    <xf numFmtId="0" fontId="0" fillId="15" borderId="155" applyNumberFormat="0" applyFont="0" applyAlignment="0" applyProtection="0">
      <alignment vertical="center"/>
    </xf>
    <xf numFmtId="0" fontId="158" fillId="0" borderId="0" applyNumberFormat="0" applyFill="0" applyBorder="0" applyAlignment="0" applyProtection="0">
      <alignment vertical="center"/>
    </xf>
    <xf numFmtId="0" fontId="159"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1" fillId="0" borderId="156" applyNumberFormat="0" applyFill="0" applyAlignment="0" applyProtection="0">
      <alignment vertical="center"/>
    </xf>
    <xf numFmtId="0" fontId="162" fillId="0" borderId="156" applyNumberFormat="0" applyFill="0" applyAlignment="0" applyProtection="0">
      <alignment vertical="center"/>
    </xf>
    <xf numFmtId="0" fontId="163" fillId="0" borderId="157" applyNumberFormat="0" applyFill="0" applyAlignment="0" applyProtection="0">
      <alignment vertical="center"/>
    </xf>
    <xf numFmtId="0" fontId="163" fillId="0" borderId="0" applyNumberFormat="0" applyFill="0" applyBorder="0" applyAlignment="0" applyProtection="0">
      <alignment vertical="center"/>
    </xf>
    <xf numFmtId="0" fontId="164" fillId="16" borderId="158" applyNumberFormat="0" applyAlignment="0" applyProtection="0">
      <alignment vertical="center"/>
    </xf>
    <xf numFmtId="0" fontId="165" fillId="5" borderId="159" applyNumberFormat="0" applyAlignment="0" applyProtection="0">
      <alignment vertical="center"/>
    </xf>
    <xf numFmtId="0" fontId="166" fillId="5" borderId="158" applyNumberFormat="0" applyAlignment="0" applyProtection="0">
      <alignment vertical="center"/>
    </xf>
    <xf numFmtId="0" fontId="167" fillId="17" borderId="160" applyNumberFormat="0" applyAlignment="0" applyProtection="0">
      <alignment vertical="center"/>
    </xf>
    <xf numFmtId="0" fontId="168" fillId="0" borderId="161" applyNumberFormat="0" applyFill="0" applyAlignment="0" applyProtection="0">
      <alignment vertical="center"/>
    </xf>
    <xf numFmtId="0" fontId="169" fillId="0" borderId="162" applyNumberFormat="0" applyFill="0" applyAlignment="0" applyProtection="0">
      <alignment vertical="center"/>
    </xf>
    <xf numFmtId="0" fontId="170" fillId="18" borderId="0" applyNumberFormat="0" applyBorder="0" applyAlignment="0" applyProtection="0">
      <alignment vertical="center"/>
    </xf>
    <xf numFmtId="0" fontId="171" fillId="19" borderId="0" applyNumberFormat="0" applyBorder="0" applyAlignment="0" applyProtection="0">
      <alignment vertical="center"/>
    </xf>
    <xf numFmtId="0" fontId="172" fillId="20" borderId="0" applyNumberFormat="0" applyBorder="0" applyAlignment="0" applyProtection="0">
      <alignment vertical="center"/>
    </xf>
    <xf numFmtId="0" fontId="173" fillId="21" borderId="0" applyNumberFormat="0" applyBorder="0" applyAlignment="0" applyProtection="0">
      <alignment vertical="center"/>
    </xf>
    <xf numFmtId="0" fontId="174" fillId="22" borderId="0" applyNumberFormat="0" applyBorder="0" applyAlignment="0" applyProtection="0">
      <alignment vertical="center"/>
    </xf>
    <xf numFmtId="0" fontId="174" fillId="23" borderId="0" applyNumberFormat="0" applyBorder="0" applyAlignment="0" applyProtection="0">
      <alignment vertical="center"/>
    </xf>
    <xf numFmtId="0" fontId="173" fillId="24" borderId="0" applyNumberFormat="0" applyBorder="0" applyAlignment="0" applyProtection="0">
      <alignment vertical="center"/>
    </xf>
    <xf numFmtId="0" fontId="173" fillId="25" borderId="0" applyNumberFormat="0" applyBorder="0" applyAlignment="0" applyProtection="0">
      <alignment vertical="center"/>
    </xf>
    <xf numFmtId="0" fontId="174" fillId="13" borderId="0" applyNumberFormat="0" applyBorder="0" applyAlignment="0" applyProtection="0">
      <alignment vertical="center"/>
    </xf>
    <xf numFmtId="0" fontId="174" fillId="26" borderId="0" applyNumberFormat="0" applyBorder="0" applyAlignment="0" applyProtection="0">
      <alignment vertical="center"/>
    </xf>
    <xf numFmtId="0" fontId="173" fillId="27" borderId="0" applyNumberFormat="0" applyBorder="0" applyAlignment="0" applyProtection="0">
      <alignment vertical="center"/>
    </xf>
    <xf numFmtId="0" fontId="173" fillId="28" borderId="0" applyNumberFormat="0" applyBorder="0" applyAlignment="0" applyProtection="0">
      <alignment vertical="center"/>
    </xf>
    <xf numFmtId="0" fontId="174" fillId="29" borderId="0" applyNumberFormat="0" applyBorder="0" applyAlignment="0" applyProtection="0">
      <alignment vertical="center"/>
    </xf>
    <xf numFmtId="0" fontId="174" fillId="30" borderId="0" applyNumberFormat="0" applyBorder="0" applyAlignment="0" applyProtection="0">
      <alignment vertical="center"/>
    </xf>
    <xf numFmtId="0" fontId="173" fillId="31" borderId="0" applyNumberFormat="0" applyBorder="0" applyAlignment="0" applyProtection="0">
      <alignment vertical="center"/>
    </xf>
    <xf numFmtId="0" fontId="173" fillId="32" borderId="0" applyNumberFormat="0" applyBorder="0" applyAlignment="0" applyProtection="0">
      <alignment vertical="center"/>
    </xf>
    <xf numFmtId="0" fontId="174" fillId="33" borderId="0" applyNumberFormat="0" applyBorder="0" applyAlignment="0" applyProtection="0">
      <alignment vertical="center"/>
    </xf>
    <xf numFmtId="0" fontId="174" fillId="34" borderId="0" applyNumberFormat="0" applyBorder="0" applyAlignment="0" applyProtection="0">
      <alignment vertical="center"/>
    </xf>
    <xf numFmtId="0" fontId="173" fillId="35" borderId="0" applyNumberFormat="0" applyBorder="0" applyAlignment="0" applyProtection="0">
      <alignment vertical="center"/>
    </xf>
    <xf numFmtId="0" fontId="173" fillId="36" borderId="0" applyNumberFormat="0" applyBorder="0" applyAlignment="0" applyProtection="0">
      <alignment vertical="center"/>
    </xf>
    <xf numFmtId="0" fontId="174" fillId="37" borderId="0" applyNumberFormat="0" applyBorder="0" applyAlignment="0" applyProtection="0">
      <alignment vertical="center"/>
    </xf>
    <xf numFmtId="0" fontId="174" fillId="38" borderId="0" applyNumberFormat="0" applyBorder="0" applyAlignment="0" applyProtection="0">
      <alignment vertical="center"/>
    </xf>
    <xf numFmtId="0" fontId="173" fillId="39" borderId="0" applyNumberFormat="0" applyBorder="0" applyAlignment="0" applyProtection="0">
      <alignment vertical="center"/>
    </xf>
    <xf numFmtId="0" fontId="173" fillId="40" borderId="0" applyNumberFormat="0" applyBorder="0" applyAlignment="0" applyProtection="0">
      <alignment vertical="center"/>
    </xf>
    <xf numFmtId="0" fontId="174" fillId="12" borderId="0" applyNumberFormat="0" applyBorder="0" applyAlignment="0" applyProtection="0">
      <alignment vertical="center"/>
    </xf>
    <xf numFmtId="0" fontId="174" fillId="41" borderId="0" applyNumberFormat="0" applyBorder="0" applyAlignment="0" applyProtection="0">
      <alignment vertical="center"/>
    </xf>
    <xf numFmtId="0" fontId="173" fillId="42" borderId="0" applyNumberFormat="0" applyBorder="0" applyAlignment="0" applyProtection="0">
      <alignment vertical="center"/>
    </xf>
  </cellStyleXfs>
  <cellXfs count="624">
    <xf numFmtId="0" fontId="0" fillId="0" borderId="0" xfId="0">
      <alignment vertical="center"/>
    </xf>
    <xf numFmtId="0" fontId="1" fillId="0" borderId="0" xfId="0" applyFont="1" applyAlignment="1">
      <alignment vertical="top"/>
    </xf>
    <xf numFmtId="0" fontId="1" fillId="0" borderId="0" xfId="0" applyFont="1">
      <alignment vertical="center"/>
    </xf>
    <xf numFmtId="0" fontId="2" fillId="0" borderId="0" xfId="0" applyFont="1" applyFill="1" applyAlignment="1">
      <alignment vertical="top" wrapText="1"/>
    </xf>
    <xf numFmtId="0" fontId="2" fillId="0" borderId="0" xfId="0" applyFont="1" applyFill="1" applyAlignment="1">
      <alignment vertical="center" wrapText="1"/>
    </xf>
    <xf numFmtId="0" fontId="2" fillId="0" borderId="0" xfId="0" applyFont="1" applyFill="1" applyBorder="1" applyAlignment="1">
      <alignment vertical="top" wrapText="1"/>
    </xf>
    <xf numFmtId="0" fontId="3" fillId="0" borderId="0" xfId="0" applyFont="1" applyFill="1" applyBorder="1" applyAlignment="1">
      <alignment vertical="top" wrapText="1"/>
    </xf>
    <xf numFmtId="0" fontId="2" fillId="0" borderId="1" xfId="0" applyFont="1" applyFill="1" applyBorder="1" applyAlignment="1">
      <alignment horizontal="left" vertical="top" wrapText="1"/>
    </xf>
    <xf numFmtId="0" fontId="4" fillId="0" borderId="0" xfId="0" applyFont="1" applyFill="1" applyAlignment="1">
      <alignment horizontal="left" vertical="top" wrapText="1"/>
    </xf>
    <xf numFmtId="0" fontId="4" fillId="0" borderId="1" xfId="0" applyFont="1" applyFill="1" applyBorder="1" applyAlignment="1">
      <alignment horizontal="left" vertical="top" wrapText="1"/>
    </xf>
    <xf numFmtId="0" fontId="3" fillId="0" borderId="0" xfId="0" applyFont="1" applyFill="1" applyAlignment="1">
      <alignment vertical="top" wrapText="1"/>
    </xf>
    <xf numFmtId="0" fontId="1" fillId="0" borderId="0" xfId="0" applyFont="1" applyFill="1" applyBorder="1" applyAlignment="1">
      <alignment vertical="center"/>
    </xf>
    <xf numFmtId="0" fontId="0" fillId="0" borderId="0" xfId="0" applyAlignment="1">
      <alignment vertical="top" wrapText="1"/>
    </xf>
    <xf numFmtId="0" fontId="5" fillId="0" borderId="0" xfId="0" applyFont="1" applyFill="1" applyBorder="1" applyAlignment="1">
      <alignment vertical="center" wrapText="1"/>
    </xf>
    <xf numFmtId="0" fontId="6" fillId="0" borderId="0" xfId="0" applyFont="1" applyFill="1" applyBorder="1" applyAlignment="1">
      <alignment vertical="center" wrapText="1"/>
    </xf>
    <xf numFmtId="0" fontId="7" fillId="0" borderId="0" xfId="0" applyFont="1" applyFill="1" applyBorder="1" applyAlignment="1">
      <alignment horizontal="center" vertical="center"/>
    </xf>
    <xf numFmtId="0" fontId="7" fillId="0" borderId="0" xfId="0" applyFont="1" applyFill="1" applyBorder="1" applyAlignment="1">
      <alignment horizontal="center" vertical="top" wrapText="1"/>
    </xf>
    <xf numFmtId="0" fontId="7" fillId="0" borderId="2" xfId="0" applyFont="1" applyFill="1" applyBorder="1" applyAlignment="1">
      <alignment horizontal="left" vertical="center"/>
    </xf>
    <xf numFmtId="0" fontId="7" fillId="0" borderId="0" xfId="0" applyFont="1" applyFill="1" applyBorder="1" applyAlignment="1">
      <alignment horizontal="left" vertical="center"/>
    </xf>
    <xf numFmtId="0" fontId="8" fillId="0" borderId="3" xfId="0" applyFont="1" applyFill="1" applyBorder="1" applyAlignment="1">
      <alignment horizontal="left" vertical="center"/>
    </xf>
    <xf numFmtId="0" fontId="8" fillId="0" borderId="3" xfId="0" applyFont="1" applyFill="1" applyBorder="1" applyAlignment="1">
      <alignment horizontal="left" vertical="center" wrapText="1"/>
    </xf>
    <xf numFmtId="0" fontId="8" fillId="0" borderId="0" xfId="0" applyFont="1" applyFill="1" applyBorder="1" applyAlignment="1">
      <alignment horizontal="left" vertical="center"/>
    </xf>
    <xf numFmtId="0" fontId="8" fillId="0" borderId="0" xfId="0" applyFont="1" applyFill="1" applyBorder="1" applyAlignment="1">
      <alignment horizontal="left" vertical="center" wrapText="1"/>
    </xf>
    <xf numFmtId="0" fontId="9" fillId="0" borderId="0" xfId="0" applyFont="1" applyFill="1" applyBorder="1" applyAlignment="1">
      <alignment vertical="center"/>
    </xf>
    <xf numFmtId="0" fontId="9" fillId="0" borderId="0" xfId="0" applyFont="1" applyFill="1" applyBorder="1" applyAlignment="1">
      <alignment horizontal="left" vertical="center"/>
    </xf>
    <xf numFmtId="0" fontId="9" fillId="0" borderId="0" xfId="0" applyFont="1" applyFill="1" applyBorder="1" applyAlignment="1">
      <alignment horizontal="left" vertical="center" wrapText="1"/>
    </xf>
    <xf numFmtId="0" fontId="9" fillId="0" borderId="0" xfId="0" applyFont="1" applyFill="1" applyBorder="1" applyAlignment="1">
      <alignment wrapText="1"/>
    </xf>
    <xf numFmtId="0" fontId="10" fillId="0" borderId="0" xfId="0" applyFont="1" applyFill="1" applyBorder="1" applyAlignment="1">
      <alignment vertical="center"/>
    </xf>
    <xf numFmtId="0" fontId="11" fillId="0" borderId="0" xfId="0" applyFont="1" applyFill="1" applyBorder="1" applyAlignment="1">
      <alignment vertical="center"/>
    </xf>
    <xf numFmtId="0" fontId="12" fillId="0" borderId="0" xfId="0" applyFont="1" applyFill="1" applyBorder="1" applyAlignment="1">
      <alignment wrapText="1"/>
    </xf>
    <xf numFmtId="0" fontId="12" fillId="0" borderId="0" xfId="0" applyFont="1" applyFill="1" applyAlignment="1">
      <alignment wrapText="1"/>
    </xf>
    <xf numFmtId="0" fontId="10" fillId="0" borderId="0" xfId="0" applyFont="1" applyFill="1" applyBorder="1" applyAlignment="1">
      <alignment vertical="center" wrapText="1"/>
    </xf>
    <xf numFmtId="0" fontId="12" fillId="0" borderId="0" xfId="0" applyFont="1" applyFill="1" applyBorder="1" applyAlignment="1">
      <alignment vertical="top" wrapText="1"/>
    </xf>
    <xf numFmtId="0" fontId="13" fillId="0" borderId="4" xfId="0" applyFont="1" applyFill="1" applyBorder="1" applyAlignment="1">
      <alignment vertical="center" wrapText="1"/>
    </xf>
    <xf numFmtId="0" fontId="14" fillId="0" borderId="5" xfId="0" applyFont="1" applyFill="1" applyBorder="1" applyAlignment="1">
      <alignment vertical="center"/>
    </xf>
    <xf numFmtId="0" fontId="13" fillId="0" borderId="0" xfId="0" applyFont="1" applyFill="1" applyBorder="1" applyAlignment="1">
      <alignment vertical="center" wrapText="1"/>
    </xf>
    <xf numFmtId="0" fontId="14" fillId="0" borderId="0" xfId="0" applyFont="1" applyFill="1" applyBorder="1" applyAlignment="1">
      <alignment vertical="center"/>
    </xf>
    <xf numFmtId="0" fontId="14" fillId="0" borderId="6" xfId="0" applyFont="1" applyFill="1" applyBorder="1" applyAlignment="1">
      <alignment horizontal="center" vertical="center" wrapText="1"/>
    </xf>
    <xf numFmtId="0" fontId="11" fillId="0" borderId="6" xfId="0" applyFont="1" applyFill="1" applyBorder="1" applyAlignment="1">
      <alignment vertical="center" wrapText="1"/>
    </xf>
    <xf numFmtId="0" fontId="15" fillId="0" borderId="6" xfId="0" applyFont="1" applyFill="1" applyBorder="1" applyAlignment="1">
      <alignment vertical="center" wrapText="1"/>
    </xf>
    <xf numFmtId="0" fontId="14" fillId="0" borderId="0" xfId="0" applyFont="1" applyFill="1" applyBorder="1" applyAlignment="1">
      <alignment horizontal="center" vertical="center"/>
    </xf>
    <xf numFmtId="0" fontId="16" fillId="2" borderId="6" xfId="0" applyFont="1" applyFill="1" applyBorder="1" applyAlignment="1">
      <alignment vertical="center"/>
    </xf>
    <xf numFmtId="0" fontId="11" fillId="0" borderId="0" xfId="0" applyFont="1" applyFill="1" applyBorder="1" applyAlignment="1">
      <alignment vertical="center" wrapText="1"/>
    </xf>
    <xf numFmtId="0" fontId="15" fillId="0" borderId="7" xfId="0" applyFont="1" applyFill="1" applyBorder="1" applyAlignment="1">
      <alignment vertical="center" wrapText="1"/>
    </xf>
    <xf numFmtId="0" fontId="15" fillId="0" borderId="7" xfId="0" applyFont="1" applyFill="1" applyBorder="1" applyAlignment="1">
      <alignment vertical="center"/>
    </xf>
    <xf numFmtId="0" fontId="15" fillId="0" borderId="0" xfId="0" applyFont="1" applyFill="1" applyBorder="1" applyAlignment="1">
      <alignment vertical="center" wrapText="1"/>
    </xf>
    <xf numFmtId="0" fontId="15" fillId="0" borderId="0" xfId="0" applyFont="1" applyFill="1" applyBorder="1" applyAlignment="1">
      <alignment vertical="center"/>
    </xf>
    <xf numFmtId="0" fontId="17" fillId="0" borderId="3" xfId="0" applyFont="1" applyFill="1" applyBorder="1" applyAlignment="1">
      <alignment vertical="center"/>
    </xf>
    <xf numFmtId="0" fontId="15" fillId="0" borderId="8" xfId="0" applyFont="1" applyFill="1" applyBorder="1" applyAlignment="1">
      <alignment vertical="center" wrapText="1"/>
    </xf>
    <xf numFmtId="0" fontId="15" fillId="0" borderId="8" xfId="0" applyFont="1" applyFill="1" applyBorder="1" applyAlignment="1">
      <alignment vertical="center"/>
    </xf>
    <xf numFmtId="0" fontId="15" fillId="0" borderId="9" xfId="0" applyFont="1" applyFill="1" applyBorder="1" applyAlignment="1">
      <alignment vertical="center" wrapText="1"/>
    </xf>
    <xf numFmtId="0" fontId="17" fillId="0" borderId="0" xfId="0" applyFont="1" applyFill="1" applyBorder="1" applyAlignment="1">
      <alignment vertical="center"/>
    </xf>
    <xf numFmtId="0" fontId="11" fillId="0" borderId="10" xfId="0" applyFont="1" applyFill="1" applyBorder="1" applyAlignment="1">
      <alignment vertical="center" wrapText="1"/>
    </xf>
    <xf numFmtId="0" fontId="15" fillId="0" borderId="10" xfId="0" applyFont="1" applyFill="1" applyBorder="1" applyAlignment="1">
      <alignment vertical="center" wrapText="1"/>
    </xf>
    <xf numFmtId="0" fontId="15" fillId="0" borderId="10" xfId="0" applyFont="1" applyFill="1" applyBorder="1" applyAlignment="1">
      <alignment vertical="center"/>
    </xf>
    <xf numFmtId="0" fontId="11" fillId="0" borderId="0" xfId="0" applyFont="1" applyFill="1" applyBorder="1" applyAlignment="1">
      <alignment wrapText="1"/>
    </xf>
    <xf numFmtId="0" fontId="13" fillId="0" borderId="11" xfId="0" applyFont="1" applyFill="1" applyBorder="1" applyAlignment="1">
      <alignment vertical="center" wrapText="1"/>
    </xf>
    <xf numFmtId="0" fontId="14" fillId="0" borderId="11" xfId="0" applyFont="1" applyFill="1" applyBorder="1" applyAlignment="1">
      <alignment horizontal="center" vertical="center"/>
    </xf>
    <xf numFmtId="0" fontId="11" fillId="0" borderId="6" xfId="0" applyFont="1" applyFill="1" applyBorder="1" applyAlignment="1">
      <alignment wrapText="1"/>
    </xf>
    <xf numFmtId="0" fontId="11" fillId="0" borderId="11" xfId="0" applyFont="1" applyFill="1" applyBorder="1" applyAlignment="1">
      <alignment wrapText="1"/>
    </xf>
    <xf numFmtId="0" fontId="15" fillId="0" borderId="11" xfId="0" applyFont="1" applyFill="1" applyBorder="1" applyAlignment="1">
      <alignment vertical="center" wrapText="1"/>
    </xf>
    <xf numFmtId="0" fontId="14" fillId="0" borderId="0" xfId="0" applyFont="1" applyFill="1" applyBorder="1" applyAlignment="1">
      <alignment horizontal="center" vertical="center" wrapText="1"/>
    </xf>
    <xf numFmtId="0" fontId="15" fillId="0" borderId="3" xfId="0" applyFont="1" applyFill="1" applyBorder="1" applyAlignment="1">
      <alignment vertical="center" wrapText="1"/>
    </xf>
    <xf numFmtId="0" fontId="18" fillId="0" borderId="0" xfId="0" applyFont="1" applyFill="1" applyBorder="1" applyAlignment="1">
      <alignment vertical="center" wrapText="1"/>
    </xf>
    <xf numFmtId="0" fontId="14" fillId="0" borderId="12" xfId="0" applyFont="1" applyFill="1" applyBorder="1" applyAlignment="1">
      <alignment horizontal="center" vertical="center" wrapText="1"/>
    </xf>
    <xf numFmtId="0" fontId="11" fillId="0" borderId="13" xfId="0" applyFont="1" applyFill="1" applyBorder="1" applyAlignment="1">
      <alignment wrapText="1"/>
    </xf>
    <xf numFmtId="0" fontId="19" fillId="0" borderId="0" xfId="0" applyFont="1" applyFill="1" applyBorder="1" applyAlignment="1">
      <alignment vertical="center"/>
    </xf>
    <xf numFmtId="0" fontId="19" fillId="0" borderId="3" xfId="0" applyFont="1" applyFill="1" applyBorder="1" applyAlignment="1">
      <alignment vertical="center"/>
    </xf>
    <xf numFmtId="0" fontId="10" fillId="0" borderId="0" xfId="0" applyFont="1" applyFill="1" applyBorder="1" applyAlignment="1">
      <alignment vertical="top" wrapText="1"/>
    </xf>
    <xf numFmtId="0" fontId="13" fillId="0" borderId="8" xfId="0" applyFont="1" applyFill="1" applyBorder="1" applyAlignment="1">
      <alignment vertical="center" wrapText="1"/>
    </xf>
    <xf numFmtId="0" fontId="14" fillId="0" borderId="8" xfId="0" applyFont="1" applyFill="1" applyBorder="1" applyAlignment="1">
      <alignment horizontal="center" vertical="center" wrapText="1"/>
    </xf>
    <xf numFmtId="0" fontId="10" fillId="0" borderId="8" xfId="0" applyFont="1" applyFill="1" applyBorder="1" applyAlignment="1">
      <alignment vertical="center" wrapText="1"/>
    </xf>
    <xf numFmtId="0" fontId="11" fillId="0" borderId="8" xfId="0" applyFont="1" applyFill="1" applyBorder="1" applyAlignment="1">
      <alignment wrapText="1"/>
    </xf>
    <xf numFmtId="0" fontId="20" fillId="0" borderId="0" xfId="0" applyFont="1" applyFill="1" applyBorder="1" applyAlignment="1">
      <alignment vertical="center" wrapText="1"/>
    </xf>
    <xf numFmtId="0" fontId="21" fillId="0" borderId="3" xfId="0" applyFont="1" applyFill="1" applyBorder="1" applyAlignment="1">
      <alignment vertical="center" wrapText="1"/>
    </xf>
    <xf numFmtId="0" fontId="20" fillId="0" borderId="3" xfId="0" applyFont="1" applyFill="1" applyBorder="1" applyAlignment="1">
      <alignment vertical="center" wrapText="1"/>
    </xf>
    <xf numFmtId="0" fontId="22" fillId="0" borderId="0" xfId="0" applyFont="1" applyFill="1" applyBorder="1" applyAlignment="1">
      <alignment wrapText="1"/>
    </xf>
    <xf numFmtId="0" fontId="22" fillId="0" borderId="11" xfId="0" applyFont="1" applyFill="1" applyBorder="1" applyAlignment="1">
      <alignment wrapText="1"/>
    </xf>
    <xf numFmtId="0" fontId="0" fillId="0" borderId="0" xfId="0" applyAlignment="1">
      <alignment vertical="center" wrapText="1"/>
    </xf>
    <xf numFmtId="0" fontId="10" fillId="0" borderId="0" xfId="0" applyFont="1" applyFill="1" applyAlignment="1">
      <alignment vertical="center"/>
    </xf>
    <xf numFmtId="0" fontId="10" fillId="0" borderId="0" xfId="0" applyFont="1" applyFill="1" applyBorder="1" applyAlignment="1">
      <alignment vertical="top"/>
    </xf>
    <xf numFmtId="0" fontId="23" fillId="0" borderId="0" xfId="0" applyFont="1" applyFill="1" applyBorder="1" applyAlignment="1">
      <alignment vertical="center"/>
    </xf>
    <xf numFmtId="0" fontId="11" fillId="0" borderId="14" xfId="0" applyFont="1" applyFill="1" applyBorder="1" applyAlignment="1">
      <alignment horizontal="center" vertical="center" wrapText="1"/>
    </xf>
    <xf numFmtId="0" fontId="11" fillId="0" borderId="6" xfId="0" applyFont="1" applyFill="1" applyBorder="1" applyAlignment="1">
      <alignment horizontal="center" vertical="center" wrapText="1"/>
    </xf>
    <xf numFmtId="0" fontId="11" fillId="0" borderId="15" xfId="0" applyFont="1" applyFill="1" applyBorder="1" applyAlignment="1">
      <alignment horizontal="center" vertical="center" wrapText="1"/>
    </xf>
    <xf numFmtId="0" fontId="24" fillId="0" borderId="0" xfId="0" applyFont="1" applyFill="1" applyBorder="1" applyAlignment="1">
      <alignment vertical="center" wrapText="1"/>
    </xf>
    <xf numFmtId="0" fontId="25" fillId="0" borderId="0" xfId="0" applyFont="1" applyFill="1" applyBorder="1" applyAlignment="1">
      <alignment vertical="top" wrapText="1"/>
    </xf>
    <xf numFmtId="0" fontId="26" fillId="0" borderId="0" xfId="0" applyFont="1" applyFill="1" applyBorder="1" applyAlignment="1">
      <alignment horizontal="right" wrapText="1"/>
    </xf>
    <xf numFmtId="0" fontId="27" fillId="0" borderId="0" xfId="0" applyFont="1" applyFill="1" applyBorder="1" applyAlignment="1">
      <alignment horizontal="right" wrapText="1"/>
    </xf>
    <xf numFmtId="0" fontId="28" fillId="0" borderId="16" xfId="0" applyFont="1" applyFill="1" applyBorder="1" applyAlignment="1">
      <alignment vertical="center" wrapText="1"/>
    </xf>
    <xf numFmtId="0" fontId="28" fillId="0" borderId="17" xfId="0" applyFont="1" applyFill="1" applyBorder="1" applyAlignment="1">
      <alignment vertical="center"/>
    </xf>
    <xf numFmtId="0" fontId="28" fillId="0" borderId="18" xfId="0" applyFont="1" applyFill="1" applyBorder="1" applyAlignment="1">
      <alignment vertical="center"/>
    </xf>
    <xf numFmtId="0" fontId="29" fillId="0" borderId="19" xfId="0" applyFont="1" applyFill="1" applyBorder="1" applyAlignment="1">
      <alignment vertical="center" wrapText="1"/>
    </xf>
    <xf numFmtId="0" fontId="30" fillId="0" borderId="0" xfId="0" applyFont="1" applyFill="1" applyBorder="1" applyAlignment="1">
      <alignment vertical="center" wrapText="1"/>
    </xf>
    <xf numFmtId="0" fontId="10" fillId="0" borderId="20" xfId="0" applyFont="1" applyFill="1" applyBorder="1" applyAlignment="1">
      <alignment vertical="center"/>
    </xf>
    <xf numFmtId="0" fontId="31" fillId="3" borderId="0" xfId="0" applyFont="1" applyFill="1" applyAlignment="1">
      <alignment vertical="top" wrapText="1"/>
    </xf>
    <xf numFmtId="0" fontId="11" fillId="0" borderId="21" xfId="0" applyFont="1" applyFill="1" applyBorder="1" applyAlignment="1">
      <alignment horizontal="center" vertical="center" wrapText="1"/>
    </xf>
    <xf numFmtId="0" fontId="11" fillId="0" borderId="10" xfId="0" applyFont="1" applyFill="1" applyBorder="1" applyAlignment="1">
      <alignment horizontal="center" vertical="center" wrapText="1"/>
    </xf>
    <xf numFmtId="0" fontId="11" fillId="0" borderId="22" xfId="0" applyFont="1" applyFill="1" applyBorder="1" applyAlignment="1">
      <alignment horizontal="center" vertical="center" wrapText="1"/>
    </xf>
    <xf numFmtId="0" fontId="28" fillId="0" borderId="23" xfId="0" applyFont="1" applyFill="1" applyBorder="1" applyAlignment="1">
      <alignment vertical="center"/>
    </xf>
    <xf numFmtId="0" fontId="28" fillId="0" borderId="0" xfId="0" applyFont="1" applyFill="1" applyBorder="1" applyAlignment="1">
      <alignment vertical="center"/>
    </xf>
    <xf numFmtId="0" fontId="28" fillId="0" borderId="24" xfId="0" applyFont="1" applyFill="1" applyBorder="1" applyAlignment="1">
      <alignment vertical="center"/>
    </xf>
    <xf numFmtId="0" fontId="29" fillId="0" borderId="25" xfId="0" applyFont="1" applyFill="1" applyBorder="1" applyAlignment="1">
      <alignment vertical="center" wrapText="1"/>
    </xf>
    <xf numFmtId="0" fontId="32" fillId="0" borderId="0" xfId="0" applyFont="1" applyFill="1" applyBorder="1" applyAlignment="1">
      <alignment vertical="center" wrapText="1"/>
    </xf>
    <xf numFmtId="0" fontId="10" fillId="0" borderId="26" xfId="0" applyFont="1" applyFill="1" applyBorder="1" applyAlignment="1">
      <alignment vertical="center"/>
    </xf>
    <xf numFmtId="0" fontId="33" fillId="0" borderId="0" xfId="0" applyFont="1" applyFill="1" applyBorder="1" applyAlignment="1">
      <alignment vertical="center" wrapText="1"/>
    </xf>
    <xf numFmtId="0" fontId="11" fillId="4" borderId="14" xfId="0" applyFont="1" applyFill="1" applyBorder="1" applyAlignment="1">
      <alignment horizontal="center" vertical="center" wrapText="1"/>
    </xf>
    <xf numFmtId="0" fontId="11" fillId="4" borderId="6" xfId="0" applyFont="1" applyFill="1" applyBorder="1" applyAlignment="1">
      <alignment horizontal="center" vertical="center" wrapText="1"/>
    </xf>
    <xf numFmtId="0" fontId="11" fillId="4" borderId="15" xfId="0" applyFont="1" applyFill="1" applyBorder="1" applyAlignment="1">
      <alignment horizontal="center" vertical="center" wrapText="1"/>
    </xf>
    <xf numFmtId="0" fontId="34" fillId="4" borderId="0" xfId="0" applyFont="1" applyFill="1" applyBorder="1" applyAlignment="1">
      <alignment vertical="center" wrapText="1"/>
    </xf>
    <xf numFmtId="0" fontId="35" fillId="4" borderId="0" xfId="0" applyFont="1" applyFill="1" applyBorder="1" applyAlignment="1">
      <alignment vertical="center" wrapText="1"/>
    </xf>
    <xf numFmtId="0" fontId="11" fillId="4" borderId="21" xfId="0" applyFont="1" applyFill="1" applyBorder="1" applyAlignment="1">
      <alignment horizontal="center" vertical="center" wrapText="1"/>
    </xf>
    <xf numFmtId="0" fontId="11" fillId="4" borderId="10" xfId="0" applyFont="1" applyFill="1" applyBorder="1" applyAlignment="1">
      <alignment horizontal="center" vertical="center" wrapText="1"/>
    </xf>
    <xf numFmtId="0" fontId="11" fillId="4" borderId="22" xfId="0" applyFont="1" applyFill="1" applyBorder="1" applyAlignment="1">
      <alignment horizontal="center" vertical="center" wrapText="1"/>
    </xf>
    <xf numFmtId="0" fontId="11" fillId="0" borderId="26" xfId="0" applyFont="1" applyFill="1" applyBorder="1" applyAlignment="1">
      <alignment vertical="center" wrapText="1"/>
    </xf>
    <xf numFmtId="0" fontId="10" fillId="0" borderId="27" xfId="0" applyFont="1" applyFill="1" applyBorder="1" applyAlignment="1">
      <alignment vertical="center"/>
    </xf>
    <xf numFmtId="0" fontId="11" fillId="0" borderId="28" xfId="0" applyFont="1" applyFill="1" applyBorder="1" applyAlignment="1">
      <alignment vertical="center" wrapText="1"/>
    </xf>
    <xf numFmtId="0" fontId="24" fillId="4" borderId="0" xfId="0" applyFont="1" applyFill="1" applyBorder="1" applyAlignment="1">
      <alignment vertical="center" wrapText="1"/>
    </xf>
    <xf numFmtId="0" fontId="11" fillId="0" borderId="29" xfId="0" applyFont="1" applyFill="1" applyBorder="1" applyAlignment="1">
      <alignment vertical="center" wrapText="1"/>
    </xf>
    <xf numFmtId="0" fontId="11" fillId="0" borderId="30" xfId="0" applyFont="1" applyFill="1" applyBorder="1" applyAlignment="1">
      <alignment vertical="center" wrapText="1"/>
    </xf>
    <xf numFmtId="0" fontId="11" fillId="0" borderId="11" xfId="0" applyFont="1" applyFill="1" applyBorder="1" applyAlignment="1">
      <alignment vertical="center" wrapText="1"/>
    </xf>
    <xf numFmtId="0" fontId="11" fillId="0" borderId="31" xfId="0" applyFont="1" applyFill="1" applyBorder="1" applyAlignment="1">
      <alignment vertical="center" wrapText="1"/>
    </xf>
    <xf numFmtId="0" fontId="36" fillId="0" borderId="32" xfId="0" applyFont="1" applyFill="1" applyBorder="1" applyAlignment="1">
      <alignment horizontal="center" vertical="center" wrapText="1"/>
    </xf>
    <xf numFmtId="0" fontId="36" fillId="0" borderId="33" xfId="0" applyFont="1" applyFill="1" applyBorder="1" applyAlignment="1">
      <alignment horizontal="center" vertical="center" wrapText="1"/>
    </xf>
    <xf numFmtId="0" fontId="36" fillId="0" borderId="34" xfId="0" applyFont="1" applyFill="1" applyBorder="1" applyAlignment="1">
      <alignment horizontal="center" vertical="center" wrapText="1"/>
    </xf>
    <xf numFmtId="0" fontId="29" fillId="0" borderId="35" xfId="0" applyFont="1" applyFill="1" applyBorder="1" applyAlignment="1">
      <alignment vertical="center" wrapText="1"/>
    </xf>
    <xf numFmtId="0" fontId="33" fillId="0" borderId="36" xfId="0" applyFont="1" applyFill="1" applyBorder="1" applyAlignment="1">
      <alignment vertical="center" wrapText="1"/>
    </xf>
    <xf numFmtId="0" fontId="36" fillId="0" borderId="37" xfId="0" applyFont="1" applyFill="1" applyBorder="1" applyAlignment="1">
      <alignment horizontal="center" vertical="center" wrapText="1"/>
    </xf>
    <xf numFmtId="0" fontId="36" fillId="0" borderId="38" xfId="0" applyFont="1" applyFill="1" applyBorder="1" applyAlignment="1">
      <alignment horizontal="center" vertical="center" wrapText="1"/>
    </xf>
    <xf numFmtId="0" fontId="36" fillId="0" borderId="39" xfId="0" applyFont="1" applyFill="1" applyBorder="1" applyAlignment="1">
      <alignment horizontal="center" vertical="center" wrapText="1"/>
    </xf>
    <xf numFmtId="0" fontId="11" fillId="0" borderId="40" xfId="0" applyFont="1" applyFill="1" applyBorder="1" applyAlignment="1">
      <alignment vertical="center" wrapText="1"/>
    </xf>
    <xf numFmtId="0" fontId="24" fillId="0" borderId="0" xfId="0" applyFont="1" applyFill="1" applyBorder="1" applyAlignment="1">
      <alignment wrapText="1"/>
    </xf>
    <xf numFmtId="0" fontId="37" fillId="0" borderId="19" xfId="0" applyFont="1" applyFill="1" applyBorder="1" applyAlignment="1">
      <alignment horizontal="left" vertical="center" wrapText="1"/>
    </xf>
    <xf numFmtId="0" fontId="37" fillId="0" borderId="0" xfId="0" applyFont="1" applyFill="1" applyBorder="1" applyAlignment="1">
      <alignment horizontal="left" vertical="center" wrapText="1"/>
    </xf>
    <xf numFmtId="0" fontId="11" fillId="0" borderId="1" xfId="0" applyFont="1" applyFill="1" applyBorder="1" applyAlignment="1">
      <alignment horizontal="center" vertical="center" wrapText="1"/>
    </xf>
    <xf numFmtId="0" fontId="11" fillId="0" borderId="0" xfId="0" applyFont="1" applyFill="1" applyBorder="1" applyAlignment="1">
      <alignment horizontal="center" vertical="center" wrapText="1"/>
    </xf>
    <xf numFmtId="0" fontId="11" fillId="0" borderId="41" xfId="0" applyFont="1" applyFill="1" applyBorder="1" applyAlignment="1">
      <alignment horizontal="center" vertical="center" wrapText="1"/>
    </xf>
    <xf numFmtId="0" fontId="10" fillId="0" borderId="17" xfId="0" applyFont="1" applyFill="1" applyBorder="1" applyAlignment="1">
      <alignment vertical="center"/>
    </xf>
    <xf numFmtId="0" fontId="38" fillId="0" borderId="0" xfId="0" applyFont="1" applyFill="1" applyBorder="1" applyAlignment="1">
      <alignment wrapText="1"/>
    </xf>
    <xf numFmtId="0" fontId="39" fillId="0" borderId="0" xfId="0" applyFont="1" applyFill="1" applyBorder="1" applyAlignment="1">
      <alignment wrapText="1"/>
    </xf>
    <xf numFmtId="0" fontId="11" fillId="0" borderId="42" xfId="0" applyFont="1" applyFill="1" applyBorder="1" applyAlignment="1">
      <alignment vertical="center" wrapText="1"/>
    </xf>
    <xf numFmtId="0" fontId="11" fillId="0" borderId="43" xfId="0" applyFont="1" applyFill="1" applyBorder="1" applyAlignment="1">
      <alignment vertical="center" wrapText="1"/>
    </xf>
    <xf numFmtId="0" fontId="40" fillId="0" borderId="0" xfId="0" applyFont="1" applyFill="1" applyBorder="1" applyAlignment="1">
      <alignment vertical="top" wrapText="1"/>
    </xf>
    <xf numFmtId="0" fontId="28" fillId="0" borderId="44" xfId="0" applyFont="1" applyFill="1" applyBorder="1" applyAlignment="1">
      <alignment vertical="center"/>
    </xf>
    <xf numFmtId="0" fontId="28" fillId="0" borderId="45" xfId="0" applyFont="1" applyFill="1" applyBorder="1" applyAlignment="1">
      <alignment vertical="center"/>
    </xf>
    <xf numFmtId="0" fontId="28" fillId="0" borderId="46" xfId="0" applyFont="1" applyFill="1" applyBorder="1" applyAlignment="1">
      <alignment vertical="center"/>
    </xf>
    <xf numFmtId="0" fontId="40" fillId="0" borderId="0" xfId="0" applyFont="1" applyFill="1" applyAlignment="1">
      <alignment vertical="top" wrapText="1"/>
    </xf>
    <xf numFmtId="0" fontId="29" fillId="0" borderId="33" xfId="0" applyFont="1" applyFill="1" applyBorder="1" applyAlignment="1">
      <alignment vertical="center" wrapText="1"/>
    </xf>
    <xf numFmtId="0" fontId="10" fillId="0" borderId="33" xfId="0" applyFont="1" applyFill="1" applyBorder="1" applyAlignment="1">
      <alignment vertical="center"/>
    </xf>
    <xf numFmtId="0" fontId="31" fillId="0" borderId="0" xfId="0" applyFont="1" applyFill="1" applyBorder="1" applyAlignment="1">
      <alignment vertical="center" wrapText="1"/>
    </xf>
    <xf numFmtId="0" fontId="41" fillId="0" borderId="0" xfId="0" applyFont="1" applyFill="1" applyBorder="1" applyAlignment="1">
      <alignment vertical="center" wrapText="1"/>
    </xf>
    <xf numFmtId="0" fontId="29" fillId="0" borderId="0" xfId="0" applyFont="1" applyFill="1" applyBorder="1" applyAlignment="1">
      <alignment vertical="center" wrapText="1"/>
    </xf>
    <xf numFmtId="0" fontId="41" fillId="0" borderId="0" xfId="0" applyFont="1" applyFill="1" applyAlignment="1">
      <alignment vertical="center" wrapText="1"/>
    </xf>
    <xf numFmtId="0" fontId="42" fillId="0" borderId="47" xfId="0" applyFont="1" applyFill="1" applyBorder="1" applyAlignment="1">
      <alignment horizontal="center" vertical="center" wrapText="1"/>
    </xf>
    <xf numFmtId="0" fontId="43" fillId="0" borderId="48" xfId="0" applyFont="1" applyFill="1" applyBorder="1" applyAlignment="1">
      <alignment horizontal="left" vertical="center" wrapText="1"/>
    </xf>
    <xf numFmtId="0" fontId="44" fillId="0" borderId="49" xfId="0" applyFont="1" applyFill="1" applyBorder="1" applyAlignment="1">
      <alignment horizontal="center" vertical="center" wrapText="1"/>
    </xf>
    <xf numFmtId="0" fontId="45" fillId="5" borderId="49" xfId="0" applyFont="1" applyFill="1" applyBorder="1" applyAlignment="1">
      <alignment vertical="top" wrapText="1"/>
    </xf>
    <xf numFmtId="0" fontId="45" fillId="5" borderId="50" xfId="0" applyFont="1" applyFill="1" applyBorder="1" applyAlignment="1">
      <alignment vertical="top" wrapText="1"/>
    </xf>
    <xf numFmtId="0" fontId="42" fillId="0" borderId="51" xfId="0" applyFont="1" applyFill="1" applyBorder="1" applyAlignment="1">
      <alignment horizontal="center" vertical="center" wrapText="1"/>
    </xf>
    <xf numFmtId="0" fontId="43" fillId="0" borderId="52" xfId="0" applyFont="1" applyFill="1" applyBorder="1" applyAlignment="1">
      <alignment horizontal="left" vertical="center" wrapText="1"/>
    </xf>
    <xf numFmtId="0" fontId="44" fillId="0" borderId="0" xfId="0" applyFont="1" applyFill="1" applyBorder="1" applyAlignment="1">
      <alignment horizontal="center" vertical="center" wrapText="1"/>
    </xf>
    <xf numFmtId="0" fontId="45" fillId="5" borderId="0" xfId="0" applyFont="1" applyFill="1" applyBorder="1" applyAlignment="1">
      <alignment vertical="top" wrapText="1"/>
    </xf>
    <xf numFmtId="0" fontId="45" fillId="5" borderId="53" xfId="0" applyFont="1" applyFill="1" applyBorder="1" applyAlignment="1">
      <alignment vertical="top" wrapText="1"/>
    </xf>
    <xf numFmtId="0" fontId="45" fillId="5" borderId="10" xfId="0" applyFont="1" applyFill="1" applyBorder="1" applyAlignment="1">
      <alignment vertical="top" wrapText="1"/>
    </xf>
    <xf numFmtId="0" fontId="45" fillId="5" borderId="54" xfId="0" applyFont="1" applyFill="1" applyBorder="1" applyAlignment="1">
      <alignment vertical="top" wrapText="1"/>
    </xf>
    <xf numFmtId="0" fontId="46" fillId="6" borderId="0" xfId="0" applyFont="1" applyFill="1" applyBorder="1" applyAlignment="1">
      <alignment horizontal="center" vertical="center" wrapText="1"/>
    </xf>
    <xf numFmtId="0" fontId="44" fillId="0" borderId="55" xfId="0" applyFont="1" applyFill="1" applyBorder="1" applyAlignment="1">
      <alignment horizontal="left" wrapText="1"/>
    </xf>
    <xf numFmtId="0" fontId="47" fillId="0" borderId="56" xfId="0" applyFont="1" applyFill="1" applyBorder="1" applyAlignment="1">
      <alignment horizontal="left" wrapText="1"/>
    </xf>
    <xf numFmtId="0" fontId="48" fillId="0" borderId="56" xfId="0" applyFont="1" applyFill="1" applyBorder="1" applyAlignment="1">
      <alignment horizontal="right" vertical="top" wrapText="1"/>
    </xf>
    <xf numFmtId="0" fontId="48" fillId="0" borderId="57" xfId="0" applyFont="1" applyFill="1" applyBorder="1" applyAlignment="1">
      <alignment horizontal="right" vertical="top" wrapText="1"/>
    </xf>
    <xf numFmtId="0" fontId="49" fillId="7" borderId="0" xfId="0" applyFont="1" applyFill="1" applyBorder="1" applyAlignment="1">
      <alignment vertical="center"/>
    </xf>
    <xf numFmtId="0" fontId="10" fillId="7" borderId="0" xfId="0" applyFont="1" applyFill="1" applyBorder="1" applyAlignment="1">
      <alignment vertical="center"/>
    </xf>
    <xf numFmtId="0" fontId="10" fillId="7" borderId="53" xfId="0" applyFont="1" applyFill="1" applyBorder="1" applyAlignment="1">
      <alignment vertical="center"/>
    </xf>
    <xf numFmtId="0" fontId="47" fillId="0" borderId="58" xfId="0" applyFont="1" applyFill="1" applyBorder="1" applyAlignment="1">
      <alignment horizontal="left" wrapText="1"/>
    </xf>
    <xf numFmtId="0" fontId="47" fillId="0" borderId="59" xfId="0" applyFont="1" applyFill="1" applyBorder="1" applyAlignment="1">
      <alignment horizontal="left" wrapText="1"/>
    </xf>
    <xf numFmtId="0" fontId="48" fillId="0" borderId="59" xfId="0" applyFont="1" applyFill="1" applyBorder="1" applyAlignment="1">
      <alignment horizontal="right" vertical="top" wrapText="1"/>
    </xf>
    <xf numFmtId="0" fontId="48" fillId="0" borderId="60" xfId="0" applyFont="1" applyFill="1" applyBorder="1" applyAlignment="1">
      <alignment horizontal="right" vertical="top" wrapText="1"/>
    </xf>
    <xf numFmtId="0" fontId="50" fillId="8" borderId="61" xfId="0" applyFont="1" applyFill="1" applyBorder="1" applyAlignment="1">
      <alignment vertical="center"/>
    </xf>
    <xf numFmtId="0" fontId="51" fillId="8" borderId="61" xfId="0" applyFont="1" applyFill="1" applyBorder="1" applyAlignment="1">
      <alignment vertical="center"/>
    </xf>
    <xf numFmtId="0" fontId="10" fillId="7" borderId="61" xfId="0" applyFont="1" applyFill="1" applyBorder="1" applyAlignment="1">
      <alignment vertical="center"/>
    </xf>
    <xf numFmtId="0" fontId="10" fillId="7" borderId="62" xfId="0" applyFont="1" applyFill="1" applyBorder="1" applyAlignment="1">
      <alignment vertical="center"/>
    </xf>
    <xf numFmtId="0" fontId="52" fillId="0" borderId="0" xfId="0" applyFont="1" applyFill="1" applyBorder="1" applyAlignment="1">
      <alignment vertical="center" wrapText="1"/>
    </xf>
    <xf numFmtId="0" fontId="53" fillId="8" borderId="63" xfId="0" applyFont="1" applyFill="1" applyBorder="1" applyAlignment="1">
      <alignment vertical="center"/>
    </xf>
    <xf numFmtId="0" fontId="51" fillId="8" borderId="63" xfId="0" applyFont="1" applyFill="1" applyBorder="1" applyAlignment="1">
      <alignment vertical="center"/>
    </xf>
    <xf numFmtId="0" fontId="51" fillId="8" borderId="64" xfId="0" applyFont="1" applyFill="1" applyBorder="1" applyAlignment="1">
      <alignment vertical="center"/>
    </xf>
    <xf numFmtId="0" fontId="51" fillId="8" borderId="65" xfId="0" applyFont="1" applyFill="1" applyBorder="1" applyAlignment="1">
      <alignment vertical="center"/>
    </xf>
    <xf numFmtId="0" fontId="51" fillId="8" borderId="0" xfId="0" applyFont="1" applyFill="1" applyBorder="1" applyAlignment="1">
      <alignment vertical="center"/>
    </xf>
    <xf numFmtId="0" fontId="10" fillId="7" borderId="66" xfId="0" applyFont="1" applyFill="1" applyBorder="1" applyAlignment="1">
      <alignment vertical="center"/>
    </xf>
    <xf numFmtId="0" fontId="54" fillId="0" borderId="67" xfId="0" applyFont="1" applyFill="1" applyBorder="1" applyAlignment="1">
      <alignment horizontal="left" vertical="top" wrapText="1"/>
    </xf>
    <xf numFmtId="0" fontId="54" fillId="0" borderId="68" xfId="0" applyFont="1" applyFill="1" applyBorder="1" applyAlignment="1">
      <alignment horizontal="left" vertical="top" wrapText="1"/>
    </xf>
    <xf numFmtId="0" fontId="55" fillId="0" borderId="69" xfId="0" applyFont="1" applyFill="1" applyBorder="1" applyAlignment="1">
      <alignment horizontal="left" vertical="top" wrapText="1"/>
    </xf>
    <xf numFmtId="0" fontId="55" fillId="0" borderId="70" xfId="0" applyFont="1" applyFill="1" applyBorder="1" applyAlignment="1">
      <alignment horizontal="left" vertical="top" wrapText="1"/>
    </xf>
    <xf numFmtId="0" fontId="55" fillId="0" borderId="71" xfId="0" applyFont="1" applyFill="1" applyBorder="1" applyAlignment="1">
      <alignment horizontal="left" vertical="top" wrapText="1"/>
    </xf>
    <xf numFmtId="0" fontId="56" fillId="6" borderId="0" xfId="0" applyFont="1" applyFill="1" applyBorder="1" applyAlignment="1">
      <alignment vertical="center"/>
    </xf>
    <xf numFmtId="0" fontId="51" fillId="8" borderId="72" xfId="0" applyFont="1" applyFill="1" applyBorder="1" applyAlignment="1">
      <alignment vertical="center"/>
    </xf>
    <xf numFmtId="0" fontId="51" fillId="8" borderId="73" xfId="0" applyFont="1" applyFill="1" applyBorder="1" applyAlignment="1">
      <alignment vertical="center"/>
    </xf>
    <xf numFmtId="0" fontId="57" fillId="7" borderId="53" xfId="0" applyFont="1" applyFill="1" applyBorder="1" applyAlignment="1">
      <alignment horizontal="center" wrapText="1"/>
    </xf>
    <xf numFmtId="0" fontId="54" fillId="0" borderId="19" xfId="0" applyFont="1" applyFill="1" applyBorder="1" applyAlignment="1">
      <alignment horizontal="left" vertical="top" wrapText="1"/>
    </xf>
    <xf numFmtId="0" fontId="54" fillId="0" borderId="0" xfId="0" applyFont="1" applyFill="1" applyBorder="1" applyAlignment="1">
      <alignment horizontal="left" vertical="top" wrapText="1"/>
    </xf>
    <xf numFmtId="0" fontId="56" fillId="6" borderId="0" xfId="0" applyFont="1" applyFill="1" applyBorder="1" applyAlignment="1">
      <alignment horizontal="left" wrapText="1"/>
    </xf>
    <xf numFmtId="0" fontId="51" fillId="8" borderId="0" xfId="0" applyFont="1" applyFill="1" applyBorder="1" applyAlignment="1">
      <alignment horizontal="left" wrapText="1"/>
    </xf>
    <xf numFmtId="0" fontId="58" fillId="7" borderId="0" xfId="0" applyFont="1" applyFill="1" applyBorder="1" applyAlignment="1">
      <alignment horizontal="left" wrapText="1"/>
    </xf>
    <xf numFmtId="0" fontId="58" fillId="7" borderId="66" xfId="0" applyFont="1" applyFill="1" applyBorder="1" applyAlignment="1">
      <alignment horizontal="left" wrapText="1"/>
    </xf>
    <xf numFmtId="0" fontId="43" fillId="0" borderId="74" xfId="0" applyFont="1" applyFill="1" applyBorder="1" applyAlignment="1">
      <alignment horizontal="left" vertical="center" wrapText="1"/>
    </xf>
    <xf numFmtId="0" fontId="44" fillId="0" borderId="75" xfId="0" applyFont="1" applyFill="1" applyBorder="1" applyAlignment="1">
      <alignment horizontal="center" vertical="center" wrapText="1"/>
    </xf>
    <xf numFmtId="0" fontId="59" fillId="6" borderId="0" xfId="0" applyFont="1" applyFill="1" applyBorder="1" applyAlignment="1">
      <alignment horizontal="right" vertical="center" wrapText="1"/>
    </xf>
    <xf numFmtId="0" fontId="60" fillId="6" borderId="0" xfId="0" applyFont="1" applyFill="1" applyBorder="1" applyAlignment="1">
      <alignment horizontal="right" vertical="center" wrapText="1"/>
    </xf>
    <xf numFmtId="0" fontId="59" fillId="6" borderId="76" xfId="0" applyFont="1" applyFill="1" applyBorder="1" applyAlignment="1">
      <alignment horizontal="right" vertical="center" wrapText="1"/>
    </xf>
    <xf numFmtId="0" fontId="59" fillId="6" borderId="0" xfId="0" applyFont="1" applyFill="1" applyBorder="1" applyAlignment="1">
      <alignment horizontal="left" vertical="center" wrapText="1"/>
    </xf>
    <xf numFmtId="0" fontId="59" fillId="6" borderId="76" xfId="0" applyFont="1" applyFill="1" applyBorder="1" applyAlignment="1">
      <alignment horizontal="left" vertical="center" wrapText="1"/>
    </xf>
    <xf numFmtId="0" fontId="61" fillId="8" borderId="76" xfId="0" applyFont="1" applyFill="1" applyBorder="1" applyAlignment="1">
      <alignment horizontal="right" vertical="center" wrapText="1"/>
    </xf>
    <xf numFmtId="0" fontId="62" fillId="8" borderId="76" xfId="0" applyFont="1" applyFill="1" applyBorder="1" applyAlignment="1">
      <alignment horizontal="left" vertical="center" wrapText="1"/>
    </xf>
    <xf numFmtId="0" fontId="63" fillId="7" borderId="77" xfId="0" applyFont="1" applyFill="1" applyBorder="1" applyAlignment="1">
      <alignment horizontal="left" vertical="center" wrapText="1"/>
    </xf>
    <xf numFmtId="0" fontId="63" fillId="7" borderId="78" xfId="0" applyFont="1" applyFill="1" applyBorder="1" applyAlignment="1">
      <alignment horizontal="left" vertical="center" wrapText="1"/>
    </xf>
    <xf numFmtId="0" fontId="57" fillId="7" borderId="79" xfId="0" applyFont="1" applyFill="1" applyBorder="1" applyAlignment="1">
      <alignment horizontal="center" wrapText="1"/>
    </xf>
    <xf numFmtId="0" fontId="64" fillId="0" borderId="0" xfId="0" applyFont="1" applyFill="1" applyBorder="1" applyAlignment="1">
      <alignment horizontal="center" vertical="center" wrapText="1"/>
    </xf>
    <xf numFmtId="0" fontId="65" fillId="2" borderId="0" xfId="0" applyFont="1" applyFill="1" applyBorder="1" applyAlignment="1">
      <alignment horizontal="center" vertical="center" wrapText="1"/>
    </xf>
    <xf numFmtId="0" fontId="66" fillId="2" borderId="0" xfId="0" applyFont="1" applyFill="1" applyBorder="1" applyAlignment="1">
      <alignment horizontal="left" wrapText="1"/>
    </xf>
    <xf numFmtId="0" fontId="67" fillId="2" borderId="0" xfId="0" applyFont="1" applyFill="1" applyBorder="1" applyAlignment="1">
      <alignment horizontal="left" vertical="center" wrapText="1"/>
    </xf>
    <xf numFmtId="0" fontId="66" fillId="2" borderId="0" xfId="0" applyFont="1" applyFill="1" applyBorder="1" applyAlignment="1">
      <alignment horizontal="left" vertical="center" wrapText="1"/>
    </xf>
    <xf numFmtId="0" fontId="68" fillId="2" borderId="0" xfId="0" applyFont="1" applyFill="1" applyBorder="1" applyAlignment="1">
      <alignment horizontal="left" vertical="center" wrapText="1"/>
    </xf>
    <xf numFmtId="0" fontId="69" fillId="2" borderId="0" xfId="0" applyFont="1" applyFill="1" applyBorder="1" applyAlignment="1">
      <alignment horizontal="left" wrapText="1"/>
    </xf>
    <xf numFmtId="0" fontId="66" fillId="2" borderId="53" xfId="0" applyFont="1" applyFill="1" applyBorder="1" applyAlignment="1">
      <alignment horizontal="left" wrapText="1"/>
    </xf>
    <xf numFmtId="0" fontId="70" fillId="0" borderId="0" xfId="0" applyFont="1" applyFill="1" applyBorder="1" applyAlignment="1">
      <alignment horizontal="center" vertical="center" wrapText="1"/>
    </xf>
    <xf numFmtId="0" fontId="71" fillId="2" borderId="0" xfId="0" applyFont="1" applyFill="1" applyBorder="1" applyAlignment="1">
      <alignment horizontal="left" vertical="top" wrapText="1"/>
    </xf>
    <xf numFmtId="0" fontId="71" fillId="2" borderId="53" xfId="0" applyFont="1" applyFill="1" applyBorder="1" applyAlignment="1">
      <alignment horizontal="left" vertical="top" wrapText="1"/>
    </xf>
    <xf numFmtId="0" fontId="71" fillId="2" borderId="0" xfId="0" applyFont="1" applyFill="1" applyAlignment="1">
      <alignment horizontal="left" vertical="top" wrapText="1"/>
    </xf>
    <xf numFmtId="0" fontId="52" fillId="0" borderId="0" xfId="0" applyFont="1" applyFill="1" applyAlignment="1">
      <alignment vertical="center" wrapText="1"/>
    </xf>
    <xf numFmtId="0" fontId="72" fillId="2" borderId="0" xfId="0" applyFont="1" applyFill="1" applyBorder="1" applyAlignment="1">
      <alignment horizontal="left" vertical="top" wrapText="1"/>
    </xf>
    <xf numFmtId="0" fontId="72" fillId="2" borderId="53" xfId="0" applyFont="1" applyFill="1" applyBorder="1" applyAlignment="1">
      <alignment horizontal="left" vertical="top" wrapText="1"/>
    </xf>
    <xf numFmtId="0" fontId="42" fillId="0" borderId="6" xfId="0" applyFont="1" applyFill="1" applyBorder="1" applyAlignment="1">
      <alignment vertical="center" wrapText="1"/>
    </xf>
    <xf numFmtId="0" fontId="73" fillId="0" borderId="49" xfId="0" applyFont="1" applyFill="1" applyBorder="1" applyAlignment="1">
      <alignment vertical="center" wrapText="1"/>
    </xf>
    <xf numFmtId="0" fontId="74" fillId="0" borderId="80" xfId="0" applyFont="1" applyFill="1" applyBorder="1" applyAlignment="1">
      <alignment vertical="center" wrapText="1"/>
    </xf>
    <xf numFmtId="0" fontId="23" fillId="0" borderId="80" xfId="0" applyFont="1" applyFill="1" applyBorder="1" applyAlignment="1">
      <alignment vertical="center" wrapText="1"/>
    </xf>
    <xf numFmtId="0" fontId="73" fillId="0" borderId="0" xfId="0" applyFont="1" applyFill="1" applyAlignment="1">
      <alignment vertical="center" wrapText="1"/>
    </xf>
    <xf numFmtId="0" fontId="42" fillId="0" borderId="81" xfId="0" applyFont="1" applyFill="1" applyBorder="1" applyAlignment="1">
      <alignment horizontal="center" vertical="center" wrapText="1"/>
    </xf>
    <xf numFmtId="0" fontId="42" fillId="0" borderId="0" xfId="0" applyFont="1" applyFill="1" applyBorder="1" applyAlignment="1">
      <alignment vertical="center" wrapText="1"/>
    </xf>
    <xf numFmtId="0" fontId="75" fillId="0" borderId="19" xfId="0" applyFont="1" applyFill="1" applyBorder="1" applyAlignment="1">
      <alignment wrapText="1"/>
    </xf>
    <xf numFmtId="0" fontId="75" fillId="0" borderId="0" xfId="0" applyFont="1" applyFill="1" applyBorder="1" applyAlignment="1">
      <alignment wrapText="1"/>
    </xf>
    <xf numFmtId="0" fontId="42" fillId="0" borderId="82" xfId="0" applyFont="1" applyFill="1" applyBorder="1" applyAlignment="1">
      <alignment horizontal="center" vertical="center" wrapText="1"/>
    </xf>
    <xf numFmtId="0" fontId="42" fillId="0" borderId="10" xfId="0" applyFont="1" applyFill="1" applyBorder="1" applyAlignment="1">
      <alignment vertical="center" wrapText="1"/>
    </xf>
    <xf numFmtId="0" fontId="76" fillId="0" borderId="0" xfId="0" applyFont="1" applyFill="1" applyAlignment="1">
      <alignment horizontal="center" vertical="center" wrapText="1"/>
    </xf>
    <xf numFmtId="0" fontId="43" fillId="0" borderId="83" xfId="0" applyFont="1" applyFill="1" applyBorder="1" applyAlignment="1">
      <alignment horizontal="left" vertical="center" wrapText="1"/>
    </xf>
    <xf numFmtId="0" fontId="47" fillId="0" borderId="0" xfId="0" applyFont="1" applyFill="1" applyBorder="1" applyAlignment="1">
      <alignment vertical="center" wrapText="1"/>
    </xf>
    <xf numFmtId="0" fontId="77" fillId="0" borderId="0" xfId="0" applyFont="1" applyFill="1" applyBorder="1" applyAlignment="1">
      <alignment vertical="center" wrapText="1"/>
    </xf>
    <xf numFmtId="0" fontId="10" fillId="0" borderId="0" xfId="0" applyFont="1" applyFill="1" applyAlignment="1">
      <alignment vertical="center" wrapText="1"/>
    </xf>
    <xf numFmtId="0" fontId="52" fillId="0" borderId="0" xfId="0" applyFont="1" applyFill="1" applyAlignment="1">
      <alignment vertical="center"/>
    </xf>
    <xf numFmtId="0" fontId="52" fillId="0" borderId="0" xfId="0" applyFont="1" applyFill="1" applyBorder="1" applyAlignment="1">
      <alignment vertical="center"/>
    </xf>
    <xf numFmtId="0" fontId="78" fillId="0" borderId="0" xfId="0" applyFont="1" applyFill="1" applyBorder="1" applyAlignment="1">
      <alignment vertical="top" wrapText="1"/>
    </xf>
    <xf numFmtId="0" fontId="79" fillId="0" borderId="0" xfId="0" applyFont="1" applyFill="1" applyBorder="1" applyAlignment="1">
      <alignment vertical="top" wrapText="1"/>
    </xf>
    <xf numFmtId="0" fontId="79" fillId="0" borderId="0" xfId="0" applyFont="1" applyFill="1" applyAlignment="1">
      <alignment vertical="top" wrapText="1"/>
    </xf>
    <xf numFmtId="0" fontId="52" fillId="0" borderId="0" xfId="0" applyFont="1" applyFill="1" applyBorder="1" applyAlignment="1">
      <alignment vertical="top" wrapText="1"/>
    </xf>
    <xf numFmtId="0" fontId="80" fillId="0" borderId="0" xfId="0" applyFont="1" applyAlignment="1">
      <alignment vertical="center"/>
    </xf>
    <xf numFmtId="0" fontId="81" fillId="0" borderId="0" xfId="0" applyFont="1" applyAlignment="1">
      <alignment vertical="center"/>
    </xf>
    <xf numFmtId="0" fontId="52" fillId="0" borderId="0" xfId="0" applyFont="1" applyFill="1" applyAlignment="1">
      <alignment vertical="top" wrapText="1"/>
    </xf>
    <xf numFmtId="0" fontId="82" fillId="0" borderId="0" xfId="0" applyFont="1" applyFill="1" applyBorder="1" applyAlignment="1">
      <alignment vertical="center" wrapText="1"/>
    </xf>
    <xf numFmtId="0" fontId="83" fillId="0" borderId="0" xfId="0" applyFont="1" applyFill="1" applyBorder="1" applyAlignment="1">
      <alignment vertical="center"/>
    </xf>
    <xf numFmtId="0" fontId="84" fillId="0" borderId="0" xfId="0" applyFont="1" applyFill="1" applyBorder="1" applyAlignment="1">
      <alignment vertical="center"/>
    </xf>
    <xf numFmtId="0" fontId="84" fillId="0" borderId="20" xfId="0" applyFont="1" applyFill="1" applyBorder="1" applyAlignment="1">
      <alignment vertical="center"/>
    </xf>
    <xf numFmtId="0" fontId="83" fillId="0" borderId="0" xfId="0" applyFont="1" applyFill="1" applyBorder="1" applyAlignment="1">
      <alignment vertical="top"/>
    </xf>
    <xf numFmtId="0" fontId="10" fillId="0" borderId="0" xfId="0" applyFont="1">
      <alignment vertical="center"/>
    </xf>
    <xf numFmtId="0" fontId="10" fillId="0" borderId="19" xfId="0" applyFont="1" applyFill="1" applyBorder="1" applyAlignment="1">
      <alignment vertical="center"/>
    </xf>
    <xf numFmtId="0" fontId="1" fillId="0" borderId="0" xfId="0" applyFont="1" applyFill="1" applyAlignment="1">
      <alignment vertical="center"/>
    </xf>
    <xf numFmtId="0" fontId="85" fillId="0" borderId="0" xfId="0" applyFont="1" applyFill="1" applyAlignment="1">
      <alignment horizontal="center" vertical="center" wrapText="1"/>
    </xf>
    <xf numFmtId="0" fontId="86" fillId="0" borderId="0" xfId="0" applyFont="1" applyFill="1" applyAlignment="1">
      <alignment horizontal="center" vertical="center" wrapText="1"/>
    </xf>
    <xf numFmtId="0" fontId="86" fillId="0" borderId="19" xfId="0" applyFont="1" applyFill="1" applyBorder="1" applyAlignment="1">
      <alignment horizontal="center" vertical="center" wrapText="1"/>
    </xf>
    <xf numFmtId="0" fontId="85" fillId="0" borderId="0" xfId="0" applyFont="1" applyFill="1" applyBorder="1" applyAlignment="1">
      <alignment horizontal="center" vertical="center" wrapText="1"/>
    </xf>
    <xf numFmtId="0" fontId="86" fillId="0" borderId="0" xfId="0" applyFont="1" applyFill="1" applyBorder="1" applyAlignment="1">
      <alignment horizontal="center" vertical="center" wrapText="1"/>
    </xf>
    <xf numFmtId="0" fontId="87" fillId="0" borderId="0" xfId="0" applyFont="1" applyFill="1" applyBorder="1" applyAlignment="1">
      <alignment horizontal="left" vertical="top" wrapText="1"/>
    </xf>
    <xf numFmtId="0" fontId="87" fillId="0" borderId="0" xfId="0" applyFont="1" applyFill="1" applyBorder="1" applyAlignment="1">
      <alignment horizontal="left" vertical="top" wrapText="1"/>
    </xf>
    <xf numFmtId="0" fontId="87" fillId="0" borderId="0" xfId="0" applyFont="1" applyFill="1" applyBorder="1" applyAlignment="1">
      <alignment horizontal="left" vertical="top" wrapText="1"/>
    </xf>
    <xf numFmtId="0" fontId="88" fillId="0" borderId="0" xfId="0" applyFont="1" applyFill="1" applyBorder="1" applyAlignment="1">
      <alignment vertical="top" wrapText="1"/>
    </xf>
    <xf numFmtId="0" fontId="88" fillId="0" borderId="0" xfId="0" applyFont="1" applyFill="1" applyBorder="1" applyAlignment="1">
      <alignment vertical="center" wrapText="1"/>
    </xf>
    <xf numFmtId="0" fontId="89" fillId="0" borderId="0" xfId="0" applyFont="1" applyFill="1" applyAlignment="1">
      <alignment vertical="top" wrapText="1"/>
    </xf>
    <xf numFmtId="0" fontId="90" fillId="0" borderId="0" xfId="0" applyFont="1" applyFill="1" applyAlignment="1">
      <alignment vertical="top" wrapText="1"/>
    </xf>
    <xf numFmtId="0" fontId="87" fillId="0" borderId="0" xfId="0" applyFont="1" applyFill="1" applyBorder="1" applyAlignment="1">
      <alignment horizontal="left" vertical="top" wrapText="1"/>
    </xf>
    <xf numFmtId="0" fontId="87" fillId="0" borderId="0" xfId="0" applyFont="1" applyFill="1" applyAlignment="1">
      <alignment horizontal="left" vertical="top" wrapText="1"/>
    </xf>
    <xf numFmtId="0" fontId="87" fillId="0" borderId="0" xfId="0" applyFont="1" applyFill="1" applyBorder="1" applyAlignment="1">
      <alignment horizontal="left" vertical="top" wrapText="1"/>
    </xf>
    <xf numFmtId="0" fontId="88" fillId="0" borderId="0" xfId="0" applyFont="1" applyFill="1" applyAlignment="1">
      <alignment vertical="center" wrapText="1"/>
    </xf>
    <xf numFmtId="0" fontId="88" fillId="0" borderId="0" xfId="0" applyFont="1" applyFill="1" applyAlignment="1">
      <alignment vertical="top" wrapText="1"/>
    </xf>
    <xf numFmtId="0" fontId="91" fillId="0" borderId="6" xfId="0" applyFont="1" applyFill="1" applyBorder="1" applyAlignment="1">
      <alignment horizontal="center" vertical="top"/>
    </xf>
    <xf numFmtId="0" fontId="92" fillId="0" borderId="84" xfId="0" applyFont="1" applyFill="1" applyBorder="1" applyAlignment="1">
      <alignment vertical="top" wrapText="1"/>
    </xf>
    <xf numFmtId="0" fontId="92" fillId="0" borderId="6" xfId="0" applyFont="1" applyFill="1" applyBorder="1" applyAlignment="1">
      <alignment vertical="top" wrapText="1"/>
    </xf>
    <xf numFmtId="0" fontId="92" fillId="0" borderId="0" xfId="0" applyFont="1" applyFill="1" applyBorder="1" applyAlignment="1">
      <alignment vertical="top" wrapText="1"/>
    </xf>
    <xf numFmtId="0" fontId="92" fillId="0" borderId="0" xfId="0" applyFont="1" applyFill="1" applyBorder="1" applyAlignment="1">
      <alignment horizontal="center" vertical="top"/>
    </xf>
    <xf numFmtId="0" fontId="92" fillId="0" borderId="85" xfId="0" applyFont="1" applyFill="1" applyBorder="1" applyAlignment="1">
      <alignment vertical="top" wrapText="1"/>
    </xf>
    <xf numFmtId="0" fontId="93" fillId="0" borderId="0" xfId="0" applyFont="1" applyFill="1" applyBorder="1" applyAlignment="1">
      <alignment vertical="top" wrapText="1"/>
    </xf>
    <xf numFmtId="0" fontId="92" fillId="0" borderId="85" xfId="0" applyFont="1" applyFill="1" applyBorder="1" applyAlignment="1">
      <alignment wrapText="1"/>
    </xf>
    <xf numFmtId="0" fontId="92" fillId="0" borderId="0" xfId="0" applyFont="1" applyFill="1" applyBorder="1" applyAlignment="1">
      <alignment wrapText="1"/>
    </xf>
    <xf numFmtId="0" fontId="94" fillId="0" borderId="6" xfId="0" applyFont="1" applyFill="1" applyBorder="1" applyAlignment="1">
      <alignment horizontal="center" vertical="center" wrapText="1"/>
    </xf>
    <xf numFmtId="0" fontId="1" fillId="0" borderId="86" xfId="0" applyFont="1" applyFill="1" applyBorder="1" applyAlignment="1">
      <alignment horizontal="center" vertical="center" wrapText="1"/>
    </xf>
    <xf numFmtId="0" fontId="1" fillId="0" borderId="6" xfId="0" applyFont="1" applyFill="1" applyBorder="1" applyAlignment="1">
      <alignment vertical="center" wrapText="1"/>
    </xf>
    <xf numFmtId="0" fontId="91" fillId="0" borderId="0" xfId="0" applyFont="1" applyFill="1" applyBorder="1" applyAlignment="1">
      <alignment horizontal="center" vertical="top"/>
    </xf>
    <xf numFmtId="0" fontId="95" fillId="0" borderId="85" xfId="0" applyFont="1" applyFill="1" applyBorder="1" applyAlignment="1">
      <alignment vertical="center"/>
    </xf>
    <xf numFmtId="0" fontId="95" fillId="0" borderId="0" xfId="0" applyFont="1" applyFill="1" applyBorder="1" applyAlignment="1"/>
    <xf numFmtId="0" fontId="95" fillId="0" borderId="0" xfId="0" applyFont="1" applyFill="1" applyBorder="1" applyAlignment="1">
      <alignment vertical="center"/>
    </xf>
    <xf numFmtId="0" fontId="94" fillId="0" borderId="0" xfId="0" applyFont="1" applyFill="1" applyBorder="1" applyAlignment="1">
      <alignment horizontal="center" vertical="center" wrapText="1"/>
    </xf>
    <xf numFmtId="0" fontId="1" fillId="0" borderId="87" xfId="0" applyFont="1" applyFill="1" applyBorder="1" applyAlignment="1">
      <alignment horizontal="center" vertical="center"/>
    </xf>
    <xf numFmtId="0" fontId="1" fillId="0" borderId="0" xfId="0" applyFont="1" applyFill="1" applyAlignment="1">
      <alignment vertical="center" wrapText="1"/>
    </xf>
    <xf numFmtId="0" fontId="96" fillId="0" borderId="85" xfId="0" applyFont="1" applyFill="1" applyBorder="1" applyAlignment="1">
      <alignment vertical="center" wrapText="1"/>
    </xf>
    <xf numFmtId="0" fontId="97" fillId="0" borderId="0" xfId="0" applyFont="1" applyFill="1" applyBorder="1" applyAlignment="1">
      <alignment vertical="top" wrapText="1"/>
    </xf>
    <xf numFmtId="0" fontId="2" fillId="0" borderId="4" xfId="0" applyFont="1" applyFill="1" applyBorder="1" applyAlignment="1">
      <alignment vertical="center" wrapText="1"/>
    </xf>
    <xf numFmtId="0" fontId="98" fillId="0" borderId="88" xfId="0" applyFont="1" applyFill="1" applyBorder="1" applyAlignment="1">
      <alignment vertical="center"/>
    </xf>
    <xf numFmtId="0" fontId="95" fillId="0" borderId="60" xfId="0" applyFont="1" applyFill="1" applyBorder="1" applyAlignment="1">
      <alignment vertical="center"/>
    </xf>
    <xf numFmtId="0" fontId="1" fillId="0" borderId="87" xfId="0" applyFont="1" applyFill="1" applyBorder="1" applyAlignment="1">
      <alignment horizontal="center" vertical="center" wrapText="1"/>
    </xf>
    <xf numFmtId="0" fontId="91" fillId="0" borderId="0" xfId="0" applyFont="1" applyFill="1" applyBorder="1" applyAlignment="1">
      <alignment vertical="top" wrapText="1"/>
    </xf>
    <xf numFmtId="0" fontId="94" fillId="0" borderId="10" xfId="0" applyFont="1" applyFill="1" applyBorder="1" applyAlignment="1">
      <alignment horizontal="center" vertical="center" wrapText="1"/>
    </xf>
    <xf numFmtId="0" fontId="2" fillId="0" borderId="89" xfId="0" applyFont="1" applyFill="1" applyBorder="1" applyAlignment="1">
      <alignment horizontal="center" vertical="center" wrapText="1"/>
    </xf>
    <xf numFmtId="0" fontId="1" fillId="0" borderId="90" xfId="0" applyFont="1" applyFill="1" applyBorder="1" applyAlignment="1">
      <alignment vertical="center" wrapText="1"/>
    </xf>
    <xf numFmtId="0" fontId="90" fillId="0" borderId="10" xfId="0" applyFont="1" applyFill="1" applyBorder="1" applyAlignment="1">
      <alignment vertical="top" wrapText="1"/>
    </xf>
    <xf numFmtId="0" fontId="90" fillId="0" borderId="0" xfId="0" applyFont="1" applyFill="1" applyBorder="1" applyAlignment="1">
      <alignment vertical="top" wrapText="1"/>
    </xf>
    <xf numFmtId="0" fontId="95" fillId="9" borderId="85" xfId="0" applyFont="1" applyFill="1" applyBorder="1" applyAlignment="1">
      <alignment vertical="center"/>
    </xf>
    <xf numFmtId="0" fontId="95" fillId="9" borderId="0" xfId="0" applyFont="1" applyFill="1" applyBorder="1" applyAlignment="1"/>
    <xf numFmtId="0" fontId="99" fillId="0" borderId="0" xfId="0" applyFont="1" applyFill="1" applyBorder="1" applyAlignment="1">
      <alignment vertical="center" wrapText="1"/>
    </xf>
    <xf numFmtId="0" fontId="99" fillId="0" borderId="0" xfId="0" applyFont="1" applyFill="1" applyAlignment="1">
      <alignment vertical="top" wrapText="1"/>
    </xf>
    <xf numFmtId="0" fontId="100" fillId="0" borderId="85" xfId="0" applyFont="1" applyFill="1" applyBorder="1" applyAlignment="1">
      <alignment vertical="center"/>
    </xf>
    <xf numFmtId="0" fontId="1" fillId="0" borderId="91" xfId="0" applyFont="1" applyFill="1" applyBorder="1" applyAlignment="1">
      <alignment horizontal="center" vertical="center"/>
    </xf>
    <xf numFmtId="0" fontId="1" fillId="0" borderId="9" xfId="0" applyFont="1" applyFill="1" applyBorder="1" applyAlignment="1">
      <alignment vertical="center" wrapText="1"/>
    </xf>
    <xf numFmtId="0" fontId="99" fillId="0" borderId="0" xfId="0" applyFont="1" applyFill="1" applyAlignment="1">
      <alignment vertical="center" wrapText="1"/>
    </xf>
    <xf numFmtId="0" fontId="101" fillId="0" borderId="85" xfId="0" applyFont="1" applyFill="1" applyBorder="1" applyAlignment="1">
      <alignment vertical="top" wrapText="1"/>
    </xf>
    <xf numFmtId="0" fontId="1" fillId="0" borderId="92" xfId="0" applyFont="1" applyFill="1" applyBorder="1" applyAlignment="1">
      <alignment horizontal="center" vertical="center"/>
    </xf>
    <xf numFmtId="0" fontId="1" fillId="0" borderId="93" xfId="0" applyFont="1" applyFill="1" applyBorder="1" applyAlignment="1">
      <alignment vertical="center" wrapText="1"/>
    </xf>
    <xf numFmtId="0" fontId="91" fillId="0" borderId="84" xfId="0" applyFont="1" applyFill="1" applyBorder="1" applyAlignment="1">
      <alignment vertical="top" wrapText="1"/>
    </xf>
    <xf numFmtId="0" fontId="91" fillId="0" borderId="6" xfId="0" applyFont="1" applyFill="1" applyBorder="1" applyAlignment="1">
      <alignment vertical="top" wrapText="1"/>
    </xf>
    <xf numFmtId="0" fontId="1" fillId="0" borderId="94" xfId="0" applyFont="1" applyFill="1" applyBorder="1" applyAlignment="1">
      <alignment horizontal="center" vertical="center"/>
    </xf>
    <xf numFmtId="0" fontId="1" fillId="0" borderId="3" xfId="0" applyFont="1" applyFill="1" applyBorder="1" applyAlignment="1">
      <alignment vertical="center" wrapText="1"/>
    </xf>
    <xf numFmtId="0" fontId="91" fillId="0" borderId="60" xfId="0" applyFont="1" applyFill="1" applyBorder="1" applyAlignment="1">
      <alignment vertical="top" wrapText="1"/>
    </xf>
    <xf numFmtId="0" fontId="91" fillId="0" borderId="88" xfId="0" applyFont="1" applyFill="1" applyBorder="1" applyAlignment="1">
      <alignment vertical="top" wrapText="1"/>
    </xf>
    <xf numFmtId="0" fontId="91" fillId="0" borderId="85" xfId="0" applyFont="1" applyFill="1" applyBorder="1" applyAlignment="1">
      <alignment vertical="top" wrapText="1"/>
    </xf>
    <xf numFmtId="0" fontId="10" fillId="0" borderId="4" xfId="0" applyFont="1" applyFill="1" applyBorder="1" applyAlignment="1">
      <alignment vertical="center" wrapText="1"/>
    </xf>
    <xf numFmtId="0" fontId="91" fillId="0" borderId="10" xfId="0" applyFont="1" applyFill="1" applyBorder="1" applyAlignment="1">
      <alignment horizontal="center" vertical="top"/>
    </xf>
    <xf numFmtId="0" fontId="91" fillId="0" borderId="95" xfId="0" applyFont="1" applyFill="1" applyBorder="1" applyAlignment="1">
      <alignment vertical="top" wrapText="1"/>
    </xf>
    <xf numFmtId="0" fontId="91" fillId="0" borderId="10" xfId="0" applyFont="1" applyFill="1" applyBorder="1" applyAlignment="1">
      <alignment vertical="top" wrapText="1"/>
    </xf>
    <xf numFmtId="0" fontId="2" fillId="0" borderId="0" xfId="0" applyFont="1" applyFill="1" applyAlignment="1">
      <alignment vertical="center"/>
    </xf>
    <xf numFmtId="0" fontId="91" fillId="0" borderId="71" xfId="0" applyFont="1" applyFill="1" applyBorder="1" applyAlignment="1">
      <alignment vertical="top" wrapText="1"/>
    </xf>
    <xf numFmtId="0" fontId="91" fillId="0" borderId="96" xfId="0" applyFont="1" applyFill="1" applyBorder="1" applyAlignment="1">
      <alignment vertical="top" wrapText="1"/>
    </xf>
    <xf numFmtId="0" fontId="1" fillId="0" borderId="97" xfId="0" applyFont="1" applyFill="1" applyBorder="1" applyAlignment="1">
      <alignment horizontal="center" vertical="center"/>
    </xf>
    <xf numFmtId="0" fontId="1" fillId="0" borderId="98" xfId="0" applyFont="1" applyFill="1" applyBorder="1" applyAlignment="1">
      <alignment vertical="center" wrapText="1"/>
    </xf>
    <xf numFmtId="0" fontId="102" fillId="0" borderId="85" xfId="0" applyFont="1" applyFill="1" applyBorder="1" applyAlignment="1">
      <alignment vertical="top" wrapText="1"/>
    </xf>
    <xf numFmtId="0" fontId="102" fillId="0" borderId="0" xfId="0" applyFont="1" applyFill="1" applyBorder="1" applyAlignment="1">
      <alignment vertical="top" wrapText="1"/>
    </xf>
    <xf numFmtId="0" fontId="94" fillId="0" borderId="0" xfId="0" applyFont="1" applyFill="1" applyAlignment="1">
      <alignment horizontal="center" vertical="center" wrapText="1"/>
    </xf>
    <xf numFmtId="0" fontId="103" fillId="0" borderId="92" xfId="0" applyFont="1" applyFill="1" applyBorder="1" applyAlignment="1">
      <alignment horizontal="center" vertical="center" wrapText="1"/>
    </xf>
    <xf numFmtId="0" fontId="102" fillId="0" borderId="60" xfId="0" applyFont="1" applyFill="1" applyBorder="1" applyAlignment="1">
      <alignment vertical="top" wrapText="1"/>
    </xf>
    <xf numFmtId="0" fontId="2" fillId="0" borderId="92" xfId="0" applyFont="1" applyFill="1" applyBorder="1" applyAlignment="1">
      <alignment horizontal="center" vertical="center"/>
    </xf>
    <xf numFmtId="0" fontId="102" fillId="0" borderId="71" xfId="0" applyFont="1" applyFill="1" applyBorder="1" applyAlignment="1">
      <alignment vertical="top" wrapText="1"/>
    </xf>
    <xf numFmtId="0" fontId="102" fillId="0" borderId="96" xfId="0" applyFont="1" applyFill="1" applyBorder="1" applyAlignment="1">
      <alignment vertical="top" wrapText="1"/>
    </xf>
    <xf numFmtId="0" fontId="1" fillId="0" borderId="92" xfId="0" applyFont="1" applyFill="1" applyBorder="1" applyAlignment="1">
      <alignment horizontal="center" vertical="center" wrapText="1"/>
    </xf>
    <xf numFmtId="0" fontId="91" fillId="0" borderId="57" xfId="0" applyFont="1" applyFill="1" applyBorder="1" applyAlignment="1">
      <alignment vertical="top" wrapText="1"/>
    </xf>
    <xf numFmtId="0" fontId="91" fillId="0" borderId="99" xfId="0" applyFont="1" applyFill="1" applyBorder="1" applyAlignment="1">
      <alignment vertical="top" wrapText="1"/>
    </xf>
    <xf numFmtId="0" fontId="103" fillId="0" borderId="92" xfId="0" applyFont="1" applyFill="1" applyBorder="1" applyAlignment="1">
      <alignment horizontal="center" vertical="center"/>
    </xf>
    <xf numFmtId="0" fontId="102" fillId="0" borderId="88" xfId="0" applyFont="1" applyFill="1" applyBorder="1" applyAlignment="1">
      <alignment vertical="top" wrapText="1"/>
    </xf>
    <xf numFmtId="0" fontId="1" fillId="0" borderId="89" xfId="0" applyFont="1" applyFill="1" applyBorder="1" applyAlignment="1">
      <alignment horizontal="center" vertical="center"/>
    </xf>
    <xf numFmtId="0" fontId="1" fillId="0" borderId="9" xfId="0" applyFont="1" applyFill="1" applyBorder="1" applyAlignment="1">
      <alignment horizontal="center" vertical="center"/>
    </xf>
    <xf numFmtId="0" fontId="1" fillId="0" borderId="100" xfId="0" applyFont="1" applyFill="1" applyBorder="1" applyAlignment="1">
      <alignment vertical="center" wrapText="1"/>
    </xf>
    <xf numFmtId="0" fontId="1" fillId="0" borderId="93" xfId="0" applyFont="1" applyFill="1" applyBorder="1" applyAlignment="1">
      <alignment horizontal="center" vertical="center"/>
    </xf>
    <xf numFmtId="0" fontId="1" fillId="0" borderId="101" xfId="0" applyFont="1" applyFill="1" applyBorder="1" applyAlignment="1">
      <alignment vertical="center" wrapText="1"/>
    </xf>
    <xf numFmtId="0" fontId="104" fillId="0" borderId="102" xfId="0" applyFont="1" applyFill="1" applyBorder="1" applyAlignment="1">
      <alignment horizontal="center" vertical="center"/>
    </xf>
    <xf numFmtId="0" fontId="104" fillId="0" borderId="103" xfId="0" applyFont="1" applyFill="1" applyBorder="1" applyAlignment="1">
      <alignment horizontal="center" vertical="center"/>
    </xf>
    <xf numFmtId="0" fontId="99" fillId="0" borderId="103" xfId="0" applyFont="1" applyFill="1" applyBorder="1" applyAlignment="1">
      <alignment horizontal="center" wrapText="1"/>
    </xf>
    <xf numFmtId="0" fontId="99" fillId="0" borderId="103" xfId="0" applyFont="1" applyFill="1" applyBorder="1" applyAlignment="1">
      <alignment horizontal="center" vertical="center"/>
    </xf>
    <xf numFmtId="0" fontId="94" fillId="0" borderId="102" xfId="0" applyFont="1" applyFill="1" applyBorder="1" applyAlignment="1">
      <alignment horizontal="left" vertical="center" wrapText="1"/>
    </xf>
    <xf numFmtId="0" fontId="94" fillId="0" borderId="103" xfId="0" applyFont="1" applyFill="1" applyBorder="1" applyAlignment="1">
      <alignment horizontal="left" vertical="center" wrapText="1"/>
    </xf>
    <xf numFmtId="0" fontId="94" fillId="0" borderId="104" xfId="0" applyFont="1" applyFill="1" applyBorder="1" applyAlignment="1">
      <alignment horizontal="left" vertical="center" wrapText="1"/>
    </xf>
    <xf numFmtId="0" fontId="105" fillId="0" borderId="0" xfId="0" applyFont="1" applyFill="1" applyBorder="1" applyAlignment="1">
      <alignment wrapText="1"/>
    </xf>
    <xf numFmtId="0" fontId="104" fillId="0" borderId="105" xfId="0" applyFont="1" applyFill="1" applyBorder="1" applyAlignment="1">
      <alignment horizontal="center" vertical="center"/>
    </xf>
    <xf numFmtId="0" fontId="104" fillId="0" borderId="0" xfId="0" applyFont="1" applyFill="1" applyAlignment="1">
      <alignment horizontal="center" vertical="center"/>
    </xf>
    <xf numFmtId="0" fontId="99" fillId="0" borderId="0" xfId="0" applyFont="1" applyFill="1" applyBorder="1" applyAlignment="1">
      <alignment horizontal="center" wrapText="1"/>
    </xf>
    <xf numFmtId="0" fontId="94" fillId="0" borderId="0" xfId="0" applyFont="1" applyFill="1" applyBorder="1" applyAlignment="1">
      <alignment horizontal="center" vertical="center"/>
    </xf>
    <xf numFmtId="0" fontId="94" fillId="0" borderId="106" xfId="0" applyFont="1" applyFill="1" applyBorder="1" applyAlignment="1">
      <alignment horizontal="center" vertical="center"/>
    </xf>
    <xf numFmtId="0" fontId="94" fillId="0" borderId="105" xfId="0" applyFont="1" applyFill="1" applyBorder="1" applyAlignment="1">
      <alignment horizontal="left" vertical="center" wrapText="1"/>
    </xf>
    <xf numFmtId="0" fontId="94" fillId="0" borderId="0" xfId="0" applyFont="1" applyFill="1" applyAlignment="1">
      <alignment horizontal="left" vertical="center" wrapText="1"/>
    </xf>
    <xf numFmtId="0" fontId="94" fillId="0" borderId="106" xfId="0" applyFont="1" applyFill="1" applyBorder="1" applyAlignment="1">
      <alignment horizontal="left" vertical="center" wrapText="1"/>
    </xf>
    <xf numFmtId="0" fontId="1" fillId="0" borderId="105" xfId="0" applyFont="1" applyFill="1" applyBorder="1" applyAlignment="1">
      <alignment horizontal="left" vertical="center"/>
    </xf>
    <xf numFmtId="0" fontId="1" fillId="0" borderId="0" xfId="0" applyFont="1" applyFill="1" applyAlignment="1">
      <alignment horizontal="left" vertical="center"/>
    </xf>
    <xf numFmtId="0" fontId="106" fillId="0" borderId="0" xfId="0" applyFont="1" applyFill="1" applyBorder="1" applyAlignment="1">
      <alignment vertical="center"/>
    </xf>
    <xf numFmtId="0" fontId="107" fillId="0" borderId="0" xfId="0" applyFont="1" applyFill="1" applyBorder="1" applyAlignment="1">
      <alignment vertical="center"/>
    </xf>
    <xf numFmtId="0" fontId="107" fillId="0" borderId="106" xfId="0" applyFont="1" applyFill="1" applyBorder="1" applyAlignment="1">
      <alignment vertical="center"/>
    </xf>
    <xf numFmtId="0" fontId="0" fillId="0" borderId="0" xfId="0" applyAlignment="1">
      <alignment vertical="center"/>
    </xf>
    <xf numFmtId="0" fontId="0" fillId="0" borderId="106" xfId="0" applyBorder="1" applyAlignment="1">
      <alignment vertical="center"/>
    </xf>
    <xf numFmtId="0" fontId="30" fillId="0" borderId="14" xfId="0" applyFont="1" applyFill="1" applyBorder="1" applyAlignment="1">
      <alignment horizontal="center" vertical="center" wrapText="1"/>
    </xf>
    <xf numFmtId="0" fontId="108" fillId="0" borderId="6" xfId="0" applyFont="1" applyFill="1" applyBorder="1" applyAlignment="1">
      <alignment horizontal="center" wrapText="1"/>
    </xf>
    <xf numFmtId="0" fontId="109" fillId="0" borderId="6" xfId="0" applyFont="1" applyFill="1" applyBorder="1" applyAlignment="1">
      <alignment vertical="center" wrapText="1"/>
    </xf>
    <xf numFmtId="0" fontId="110" fillId="0" borderId="6" xfId="0" applyFont="1" applyFill="1" applyBorder="1" applyAlignment="1">
      <alignment vertical="center" wrapText="1"/>
    </xf>
    <xf numFmtId="0" fontId="110" fillId="0" borderId="15" xfId="0" applyFont="1" applyFill="1" applyBorder="1" applyAlignment="1">
      <alignment vertical="center" wrapText="1"/>
    </xf>
    <xf numFmtId="0" fontId="1" fillId="0" borderId="3" xfId="0" applyFont="1" applyFill="1" applyBorder="1" applyAlignment="1">
      <alignment horizontal="center" vertical="center"/>
    </xf>
    <xf numFmtId="0" fontId="1" fillId="0" borderId="107" xfId="0" applyFont="1" applyFill="1" applyBorder="1" applyAlignment="1">
      <alignment horizontal="left" vertical="center"/>
    </xf>
    <xf numFmtId="0" fontId="1" fillId="0" borderId="108" xfId="0" applyFont="1" applyFill="1" applyBorder="1" applyAlignment="1">
      <alignment horizontal="left" vertical="center"/>
    </xf>
    <xf numFmtId="0" fontId="106" fillId="0" borderId="108" xfId="0" applyFont="1" applyFill="1" applyBorder="1" applyAlignment="1">
      <alignment vertical="center"/>
    </xf>
    <xf numFmtId="0" fontId="107" fillId="0" borderId="108" xfId="0" applyFont="1" applyFill="1" applyBorder="1" applyAlignment="1">
      <alignment vertical="center"/>
    </xf>
    <xf numFmtId="0" fontId="0" fillId="0" borderId="108" xfId="0" applyBorder="1" applyAlignment="1">
      <alignment vertical="center"/>
    </xf>
    <xf numFmtId="0" fontId="0" fillId="0" borderId="109" xfId="0" applyBorder="1" applyAlignment="1">
      <alignment vertical="center"/>
    </xf>
    <xf numFmtId="0" fontId="30" fillId="0" borderId="1" xfId="0" applyFont="1" applyFill="1" applyBorder="1" applyAlignment="1">
      <alignment horizontal="center" vertical="center" wrapText="1"/>
    </xf>
    <xf numFmtId="0" fontId="108" fillId="0" borderId="0" xfId="0" applyFont="1" applyFill="1" applyAlignment="1">
      <alignment horizontal="center" wrapText="1"/>
    </xf>
    <xf numFmtId="0" fontId="109" fillId="0" borderId="0" xfId="0" applyFont="1" applyFill="1" applyBorder="1" applyAlignment="1">
      <alignment vertical="center" wrapText="1"/>
    </xf>
    <xf numFmtId="0" fontId="110" fillId="0" borderId="0" xfId="0" applyFont="1" applyFill="1" applyBorder="1" applyAlignment="1">
      <alignment vertical="center" wrapText="1"/>
    </xf>
    <xf numFmtId="0" fontId="110" fillId="0" borderId="41" xfId="0" applyFont="1" applyFill="1" applyBorder="1" applyAlignment="1">
      <alignment vertical="center" wrapText="1"/>
    </xf>
    <xf numFmtId="0" fontId="30" fillId="0" borderId="0" xfId="0" applyFont="1" applyFill="1" applyBorder="1" applyAlignment="1">
      <alignment vertical="top" wrapText="1"/>
    </xf>
    <xf numFmtId="0" fontId="1" fillId="0" borderId="110" xfId="0" applyFont="1" applyFill="1" applyBorder="1" applyAlignment="1">
      <alignment vertical="center"/>
    </xf>
    <xf numFmtId="0" fontId="1" fillId="0" borderId="100" xfId="0" applyFont="1" applyFill="1" applyBorder="1" applyAlignment="1">
      <alignment vertical="center"/>
    </xf>
    <xf numFmtId="0" fontId="111" fillId="0" borderId="111" xfId="0" applyFont="1" applyFill="1" applyBorder="1" applyAlignment="1">
      <alignment vertical="center"/>
    </xf>
    <xf numFmtId="0" fontId="111" fillId="0" borderId="112" xfId="0" applyFont="1" applyFill="1" applyBorder="1" applyAlignment="1">
      <alignment vertical="center"/>
    </xf>
    <xf numFmtId="0" fontId="10" fillId="0" borderId="0" xfId="0" applyFont="1" applyFill="1" applyBorder="1" applyAlignment="1">
      <alignment horizontal="left" wrapText="1"/>
    </xf>
    <xf numFmtId="0" fontId="1" fillId="0" borderId="113" xfId="0" applyFont="1" applyFill="1" applyBorder="1" applyAlignment="1">
      <alignment vertical="center"/>
    </xf>
    <xf numFmtId="0" fontId="1" fillId="0" borderId="114" xfId="0" applyFont="1" applyFill="1" applyBorder="1" applyAlignment="1">
      <alignment vertical="center"/>
    </xf>
    <xf numFmtId="0" fontId="108" fillId="0" borderId="13" xfId="0" applyFont="1" applyFill="1" applyBorder="1" applyAlignment="1">
      <alignment horizontal="center" vertical="center" wrapText="1"/>
    </xf>
    <xf numFmtId="0" fontId="112" fillId="0" borderId="13" xfId="0" applyFont="1" applyFill="1" applyBorder="1" applyAlignment="1">
      <alignment wrapText="1"/>
    </xf>
    <xf numFmtId="0" fontId="112" fillId="0" borderId="115" xfId="0" applyFont="1" applyFill="1" applyBorder="1" applyAlignment="1">
      <alignment wrapText="1"/>
    </xf>
    <xf numFmtId="0" fontId="94" fillId="2" borderId="0" xfId="0" applyFont="1" applyFill="1" applyBorder="1" applyAlignment="1">
      <alignment horizontal="center" vertical="center" wrapText="1"/>
    </xf>
    <xf numFmtId="0" fontId="1" fillId="0" borderId="0" xfId="0" applyFont="1" applyFill="1" applyBorder="1" applyAlignment="1">
      <alignment horizontal="center" vertical="top"/>
    </xf>
    <xf numFmtId="0" fontId="0" fillId="0" borderId="0" xfId="0" applyFont="1" applyFill="1" applyAlignment="1">
      <alignment horizontal="left" wrapText="1"/>
    </xf>
    <xf numFmtId="0" fontId="113" fillId="10" borderId="0" xfId="0" applyFont="1" applyFill="1" applyBorder="1" applyAlignment="1">
      <alignment horizontal="left" vertical="center"/>
    </xf>
    <xf numFmtId="0" fontId="108" fillId="0" borderId="0" xfId="0" applyFont="1" applyFill="1" applyAlignment="1">
      <alignment horizontal="center" vertical="center" wrapText="1"/>
    </xf>
    <xf numFmtId="0" fontId="112" fillId="0" borderId="0" xfId="0" applyFont="1" applyFill="1" applyAlignment="1">
      <alignment wrapText="1"/>
    </xf>
    <xf numFmtId="0" fontId="112" fillId="0" borderId="41" xfId="0" applyFont="1" applyFill="1" applyBorder="1" applyAlignment="1">
      <alignment wrapText="1"/>
    </xf>
    <xf numFmtId="0" fontId="10" fillId="0" borderId="11" xfId="0" applyFont="1" applyFill="1" applyBorder="1" applyAlignment="1">
      <alignment vertical="center" wrapText="1"/>
    </xf>
    <xf numFmtId="0" fontId="114" fillId="10" borderId="0" xfId="0" applyFont="1" applyFill="1" applyAlignment="1">
      <alignment horizontal="left" vertical="center"/>
    </xf>
    <xf numFmtId="0" fontId="115" fillId="0" borderId="0" xfId="0" applyFont="1" applyFill="1" applyBorder="1" applyAlignment="1">
      <alignment horizontal="left" vertical="center" wrapText="1"/>
    </xf>
    <xf numFmtId="0" fontId="116" fillId="0" borderId="87" xfId="0" applyFont="1" applyBorder="1" applyAlignment="1">
      <alignment vertical="center" wrapText="1"/>
    </xf>
    <xf numFmtId="0" fontId="117" fillId="0" borderId="116" xfId="0" applyFont="1" applyBorder="1" applyAlignment="1">
      <alignment horizontal="center" vertical="center"/>
    </xf>
    <xf numFmtId="0" fontId="30" fillId="0" borderId="116" xfId="0" applyFont="1" applyBorder="1" applyAlignment="1">
      <alignment vertical="center"/>
    </xf>
    <xf numFmtId="0" fontId="108" fillId="0" borderId="116" xfId="0" applyFont="1" applyBorder="1" applyAlignment="1">
      <alignment vertical="center" wrapText="1"/>
    </xf>
    <xf numFmtId="0" fontId="108" fillId="0" borderId="117" xfId="0" applyFont="1" applyBorder="1" applyAlignment="1">
      <alignment vertical="center" wrapText="1"/>
    </xf>
    <xf numFmtId="0" fontId="10" fillId="0" borderId="0" xfId="0" applyFont="1" applyFill="1" applyBorder="1" applyAlignment="1">
      <alignment horizontal="left" vertical="center" wrapText="1"/>
    </xf>
    <xf numFmtId="0" fontId="115" fillId="0" borderId="0" xfId="0" applyFont="1" applyFill="1" applyAlignment="1">
      <alignment horizontal="left" vertical="center" wrapText="1"/>
    </xf>
    <xf numFmtId="0" fontId="116" fillId="0" borderId="87" xfId="0" applyFont="1" applyBorder="1" applyAlignment="1">
      <alignment vertical="center"/>
    </xf>
    <xf numFmtId="0" fontId="30" fillId="0" borderId="117" xfId="0" applyFont="1" applyBorder="1" applyAlignment="1">
      <alignment vertical="center"/>
    </xf>
    <xf numFmtId="0" fontId="30" fillId="0" borderId="116" xfId="0" applyFont="1" applyBorder="1" applyAlignment="1">
      <alignment horizontal="center" vertical="center"/>
    </xf>
    <xf numFmtId="0" fontId="30" fillId="0" borderId="0" xfId="0" applyFont="1" applyFill="1" applyBorder="1" applyAlignment="1">
      <alignment wrapText="1"/>
    </xf>
    <xf numFmtId="0" fontId="113" fillId="10" borderId="0" xfId="0" applyFont="1" applyFill="1" applyAlignment="1">
      <alignment horizontal="left" vertical="center"/>
    </xf>
    <xf numFmtId="0" fontId="94" fillId="0" borderId="0" xfId="0" applyFont="1" applyFill="1" applyBorder="1" applyAlignment="1">
      <alignment horizontal="left" vertical="center" wrapText="1"/>
    </xf>
    <xf numFmtId="0" fontId="118" fillId="0" borderId="0" xfId="0" applyFont="1" applyFill="1" applyBorder="1" applyAlignment="1">
      <alignment wrapText="1"/>
    </xf>
    <xf numFmtId="0" fontId="117" fillId="0" borderId="116" xfId="0" applyFont="1" applyBorder="1" applyAlignment="1">
      <alignment horizontal="center" vertical="center" wrapText="1"/>
    </xf>
    <xf numFmtId="0" fontId="119" fillId="0" borderId="116" xfId="0" applyFont="1" applyBorder="1" applyAlignment="1">
      <alignment horizontal="left" vertical="center"/>
    </xf>
    <xf numFmtId="0" fontId="119" fillId="0" borderId="117" xfId="0" applyFont="1" applyBorder="1" applyAlignment="1">
      <alignment horizontal="left" vertical="center"/>
    </xf>
    <xf numFmtId="0" fontId="30" fillId="0" borderId="14" xfId="0" applyFont="1" applyFill="1" applyBorder="1" applyAlignment="1">
      <alignment vertical="center" wrapText="1"/>
    </xf>
    <xf numFmtId="0" fontId="30" fillId="0" borderId="6" xfId="0" applyFont="1" applyFill="1" applyBorder="1" applyAlignment="1">
      <alignment vertical="center" wrapText="1"/>
    </xf>
    <xf numFmtId="0" fontId="30" fillId="0" borderId="15" xfId="0" applyFont="1" applyFill="1" applyBorder="1" applyAlignment="1">
      <alignment vertical="center" wrapText="1"/>
    </xf>
    <xf numFmtId="0" fontId="30" fillId="0" borderId="1" xfId="0" applyFont="1" applyFill="1" applyBorder="1" applyAlignment="1">
      <alignment vertical="center" wrapText="1"/>
    </xf>
    <xf numFmtId="0" fontId="30" fillId="0" borderId="0" xfId="0" applyFont="1" applyFill="1" applyAlignment="1">
      <alignment vertical="center" wrapText="1"/>
    </xf>
    <xf numFmtId="0" fontId="30" fillId="0" borderId="41" xfId="0" applyFont="1" applyFill="1" applyBorder="1" applyAlignment="1">
      <alignment vertical="center" wrapText="1"/>
    </xf>
    <xf numFmtId="0" fontId="120" fillId="0" borderId="0" xfId="0" applyFont="1" applyFill="1" applyBorder="1" applyAlignment="1">
      <alignment wrapText="1"/>
    </xf>
    <xf numFmtId="0" fontId="1" fillId="0" borderId="92" xfId="0" applyFont="1" applyFill="1" applyBorder="1" applyAlignment="1">
      <alignment horizontal="center" vertical="top"/>
    </xf>
    <xf numFmtId="0" fontId="2" fillId="0" borderId="4" xfId="0" applyFont="1" applyFill="1" applyBorder="1" applyAlignment="1">
      <alignment wrapText="1"/>
    </xf>
    <xf numFmtId="0" fontId="121" fillId="0" borderId="0" xfId="0" applyFont="1" applyFill="1" applyBorder="1" applyAlignment="1">
      <alignment vertical="top" wrapText="1"/>
    </xf>
    <xf numFmtId="0" fontId="2" fillId="0" borderId="0" xfId="0" applyFont="1" applyFill="1" applyAlignment="1">
      <alignment wrapText="1"/>
    </xf>
    <xf numFmtId="0" fontId="4" fillId="0" borderId="0" xfId="0" applyFont="1" applyFill="1" applyAlignment="1">
      <alignment vertical="center" wrapText="1"/>
    </xf>
    <xf numFmtId="0" fontId="122" fillId="0" borderId="6" xfId="0" applyFont="1" applyFill="1" applyBorder="1" applyAlignment="1">
      <alignment vertical="center" wrapText="1"/>
    </xf>
    <xf numFmtId="0" fontId="122" fillId="0" borderId="6" xfId="0" applyFont="1" applyFill="1" applyBorder="1" applyAlignment="1">
      <alignment vertical="center" wrapText="1"/>
    </xf>
    <xf numFmtId="0" fontId="122" fillId="0" borderId="0" xfId="0" applyFont="1" applyFill="1" applyAlignment="1">
      <alignment vertical="center" wrapText="1"/>
    </xf>
    <xf numFmtId="0" fontId="1" fillId="2" borderId="118" xfId="0" applyFont="1" applyFill="1" applyBorder="1" applyAlignment="1">
      <alignment horizontal="center" vertical="top"/>
    </xf>
    <xf numFmtId="0" fontId="2" fillId="2" borderId="0" xfId="0" applyFont="1" applyFill="1" applyAlignment="1">
      <alignment vertical="center"/>
    </xf>
    <xf numFmtId="0" fontId="1" fillId="2" borderId="119" xfId="0" applyFont="1" applyFill="1" applyBorder="1" applyAlignment="1">
      <alignment horizontal="center" vertical="top"/>
    </xf>
    <xf numFmtId="0" fontId="123" fillId="11" borderId="0" xfId="0" applyFont="1" applyFill="1" applyAlignment="1">
      <alignment vertical="center"/>
    </xf>
    <xf numFmtId="0" fontId="123" fillId="2" borderId="0" xfId="0" applyFont="1" applyFill="1" applyAlignment="1">
      <alignment vertical="center"/>
    </xf>
    <xf numFmtId="0" fontId="124" fillId="0" borderId="120" xfId="0" applyFont="1" applyFill="1" applyBorder="1" applyAlignment="1">
      <alignment wrapText="1"/>
    </xf>
    <xf numFmtId="0" fontId="1" fillId="11" borderId="0" xfId="0" applyFont="1" applyFill="1" applyAlignment="1">
      <alignment vertical="center" wrapText="1"/>
    </xf>
    <xf numFmtId="0" fontId="124" fillId="0" borderId="0" xfId="0" applyFont="1" applyFill="1" applyAlignment="1">
      <alignment wrapText="1"/>
    </xf>
    <xf numFmtId="0" fontId="1" fillId="2" borderId="121" xfId="0" applyFont="1" applyFill="1" applyBorder="1" applyAlignment="1">
      <alignment horizontal="center" vertical="top"/>
    </xf>
    <xf numFmtId="0" fontId="1" fillId="11" borderId="0" xfId="0" applyFont="1" applyFill="1" applyBorder="1" applyAlignment="1">
      <alignment wrapText="1"/>
    </xf>
    <xf numFmtId="0" fontId="99" fillId="0" borderId="33" xfId="0" applyFont="1" applyFill="1" applyBorder="1" applyAlignment="1">
      <alignment vertical="center" wrapText="1"/>
    </xf>
    <xf numFmtId="0" fontId="2" fillId="0" borderId="3" xfId="0" applyFont="1" applyFill="1" applyBorder="1" applyAlignment="1">
      <alignment vertical="top" wrapText="1"/>
    </xf>
    <xf numFmtId="0" fontId="10" fillId="0" borderId="14" xfId="0" applyFont="1" applyFill="1" applyBorder="1" applyAlignment="1">
      <alignment vertical="center"/>
    </xf>
    <xf numFmtId="0" fontId="10" fillId="0" borderId="6" xfId="0" applyFont="1" applyFill="1" applyBorder="1" applyAlignment="1">
      <alignment vertical="center"/>
    </xf>
    <xf numFmtId="0" fontId="10" fillId="0" borderId="15" xfId="0" applyFont="1" applyFill="1" applyBorder="1" applyAlignment="1">
      <alignment vertical="center"/>
    </xf>
    <xf numFmtId="0" fontId="46" fillId="0" borderId="122" xfId="0" applyFont="1" applyFill="1" applyBorder="1" applyAlignment="1">
      <alignment vertical="center" wrapText="1"/>
    </xf>
    <xf numFmtId="0" fontId="46" fillId="0" borderId="123" xfId="0" applyFont="1" applyFill="1" applyBorder="1" applyAlignment="1">
      <alignment vertical="center" wrapText="1"/>
    </xf>
    <xf numFmtId="0" fontId="99" fillId="0" borderId="0" xfId="0" applyFont="1" applyFill="1" applyBorder="1" applyAlignment="1">
      <alignment horizontal="left" vertical="center" wrapText="1"/>
    </xf>
    <xf numFmtId="0" fontId="11" fillId="0" borderId="1" xfId="0" applyFont="1" applyFill="1" applyBorder="1" applyAlignment="1">
      <alignment vertical="center" wrapText="1"/>
    </xf>
    <xf numFmtId="0" fontId="11" fillId="0" borderId="0" xfId="0" applyFont="1" applyFill="1" applyBorder="1" applyAlignment="1">
      <alignment horizontal="center" vertical="center"/>
    </xf>
    <xf numFmtId="0" fontId="11" fillId="0" borderId="41" xfId="0" applyFont="1" applyFill="1" applyBorder="1" applyAlignment="1">
      <alignment horizontal="center" vertical="center"/>
    </xf>
    <xf numFmtId="0" fontId="124" fillId="0" borderId="0" xfId="0" applyFont="1" applyFill="1" applyBorder="1" applyAlignment="1">
      <alignment vertical="top" wrapText="1"/>
    </xf>
    <xf numFmtId="0" fontId="46" fillId="0" borderId="0" xfId="0" applyFont="1" applyFill="1" applyAlignment="1">
      <alignment vertical="center" wrapText="1"/>
    </xf>
    <xf numFmtId="0" fontId="46" fillId="0" borderId="124" xfId="0" applyFont="1" applyFill="1" applyBorder="1" applyAlignment="1">
      <alignment vertical="center" wrapText="1"/>
    </xf>
    <xf numFmtId="0" fontId="99" fillId="0" borderId="0" xfId="0" applyFont="1" applyFill="1" applyAlignment="1">
      <alignment horizontal="left" vertical="center" wrapText="1"/>
    </xf>
    <xf numFmtId="0" fontId="125" fillId="0" borderId="1" xfId="0" applyFont="1" applyFill="1" applyBorder="1" applyAlignment="1">
      <alignment vertical="center"/>
    </xf>
    <xf numFmtId="176" fontId="46" fillId="0" borderId="0" xfId="0" applyNumberFormat="1" applyFont="1" applyFill="1" applyBorder="1" applyAlignment="1">
      <alignment vertical="center"/>
    </xf>
    <xf numFmtId="176" fontId="46" fillId="0" borderId="41" xfId="0" applyNumberFormat="1" applyFont="1" applyFill="1" applyBorder="1" applyAlignment="1">
      <alignment vertical="center"/>
    </xf>
    <xf numFmtId="0" fontId="28" fillId="0" borderId="1" xfId="0" applyFont="1" applyFill="1" applyBorder="1" applyAlignment="1">
      <alignment horizontal="center" vertical="center"/>
    </xf>
    <xf numFmtId="0" fontId="28" fillId="2" borderId="1" xfId="0" applyFont="1" applyFill="1" applyBorder="1" applyAlignment="1">
      <alignment horizontal="center" vertical="center"/>
    </xf>
    <xf numFmtId="0" fontId="11" fillId="2" borderId="0" xfId="0" applyFont="1" applyFill="1" applyBorder="1" applyAlignment="1">
      <alignment vertical="center"/>
    </xf>
    <xf numFmtId="176" fontId="126" fillId="2" borderId="0" xfId="0" applyNumberFormat="1" applyFont="1" applyFill="1" applyBorder="1" applyAlignment="1">
      <alignment vertical="center"/>
    </xf>
    <xf numFmtId="176" fontId="46" fillId="2" borderId="0" xfId="0" applyNumberFormat="1" applyFont="1" applyFill="1" applyBorder="1" applyAlignment="1">
      <alignment vertical="center"/>
    </xf>
    <xf numFmtId="176" fontId="46" fillId="2" borderId="41" xfId="0" applyNumberFormat="1" applyFont="1" applyFill="1" applyBorder="1" applyAlignment="1">
      <alignment vertical="center"/>
    </xf>
    <xf numFmtId="0" fontId="28" fillId="0" borderId="1" xfId="0" applyFont="1" applyFill="1" applyBorder="1" applyAlignment="1">
      <alignment horizontal="center" vertical="center" wrapText="1"/>
    </xf>
    <xf numFmtId="176" fontId="126" fillId="0" borderId="0" xfId="0" applyNumberFormat="1" applyFont="1" applyFill="1" applyBorder="1" applyAlignment="1">
      <alignment vertical="center"/>
    </xf>
    <xf numFmtId="0" fontId="127" fillId="0" borderId="0" xfId="0" applyFont="1" applyFill="1" applyBorder="1" applyAlignment="1">
      <alignment vertical="center"/>
    </xf>
    <xf numFmtId="176" fontId="128" fillId="0" borderId="0" xfId="0" applyNumberFormat="1" applyFont="1" applyFill="1" applyBorder="1" applyAlignment="1">
      <alignment vertical="center"/>
    </xf>
    <xf numFmtId="176" fontId="129" fillId="0" borderId="0" xfId="0" applyNumberFormat="1" applyFont="1" applyFill="1" applyBorder="1" applyAlignment="1">
      <alignment vertical="center"/>
    </xf>
    <xf numFmtId="176" fontId="129" fillId="0" borderId="41" xfId="0" applyNumberFormat="1" applyFont="1" applyFill="1" applyBorder="1" applyAlignment="1">
      <alignment vertical="center"/>
    </xf>
    <xf numFmtId="0" fontId="28" fillId="2" borderId="1" xfId="0" applyFont="1" applyFill="1" applyBorder="1" applyAlignment="1">
      <alignment horizontal="center" vertical="center" wrapText="1"/>
    </xf>
    <xf numFmtId="0" fontId="130" fillId="0" borderId="0" xfId="0" applyFont="1" applyFill="1" applyBorder="1" applyAlignment="1">
      <alignment vertical="center" wrapText="1"/>
    </xf>
    <xf numFmtId="0" fontId="130" fillId="0" borderId="4" xfId="0" applyFont="1" applyFill="1" applyBorder="1" applyAlignment="1">
      <alignment vertical="top" wrapText="1"/>
    </xf>
    <xf numFmtId="0" fontId="131" fillId="0" borderId="1" xfId="0" applyFont="1" applyFill="1" applyBorder="1" applyAlignment="1">
      <alignment vertical="top" wrapText="1"/>
    </xf>
    <xf numFmtId="0" fontId="131" fillId="0" borderId="0" xfId="0" applyFont="1" applyFill="1" applyAlignment="1">
      <alignment vertical="top" wrapText="1"/>
    </xf>
    <xf numFmtId="0" fontId="131" fillId="0" borderId="41" xfId="0" applyFont="1" applyFill="1" applyBorder="1" applyAlignment="1">
      <alignment vertical="top" wrapText="1"/>
    </xf>
    <xf numFmtId="0" fontId="130" fillId="0" borderId="0" xfId="0" applyFont="1" applyFill="1" applyAlignment="1">
      <alignment vertical="top" wrapText="1"/>
    </xf>
    <xf numFmtId="0" fontId="106" fillId="0" borderId="47" xfId="0" applyFont="1" applyFill="1" applyBorder="1" applyAlignment="1">
      <alignment vertical="center" wrapText="1"/>
    </xf>
    <xf numFmtId="0" fontId="106" fillId="0" borderId="49" xfId="0" applyFont="1" applyFill="1" applyBorder="1" applyAlignment="1">
      <alignment vertical="center" wrapText="1"/>
    </xf>
    <xf numFmtId="0" fontId="106" fillId="0" borderId="50" xfId="0" applyFont="1" applyFill="1" applyBorder="1" applyAlignment="1">
      <alignment vertical="center" wrapText="1"/>
    </xf>
    <xf numFmtId="0" fontId="76" fillId="0" borderId="125" xfId="0" applyFont="1" applyFill="1" applyBorder="1" applyAlignment="1">
      <alignment horizontal="center" vertical="center" wrapText="1"/>
    </xf>
    <xf numFmtId="0" fontId="43" fillId="0" borderId="126" xfId="0" applyFont="1" applyFill="1" applyBorder="1" applyAlignment="1">
      <alignment horizontal="left" vertical="center" wrapText="1"/>
    </xf>
    <xf numFmtId="0" fontId="44" fillId="0" borderId="126" xfId="0" applyFont="1" applyFill="1" applyBorder="1" applyAlignment="1">
      <alignment horizontal="center" vertical="center" wrapText="1"/>
    </xf>
    <xf numFmtId="0" fontId="106" fillId="0" borderId="51" xfId="0" applyFont="1" applyFill="1" applyBorder="1" applyAlignment="1">
      <alignment vertical="center" wrapText="1"/>
    </xf>
    <xf numFmtId="0" fontId="106" fillId="0" borderId="0" xfId="0" applyFont="1" applyFill="1" applyAlignment="1">
      <alignment vertical="center" wrapText="1"/>
    </xf>
    <xf numFmtId="0" fontId="106" fillId="0" borderId="53" xfId="0" applyFont="1" applyFill="1" applyBorder="1" applyAlignment="1">
      <alignment vertical="center" wrapText="1"/>
    </xf>
    <xf numFmtId="0" fontId="76" fillId="0" borderId="127" xfId="0" applyFont="1" applyFill="1" applyBorder="1" applyAlignment="1">
      <alignment horizontal="center" vertical="center" wrapText="1"/>
    </xf>
    <xf numFmtId="0" fontId="43" fillId="0" borderId="128" xfId="0" applyFont="1" applyFill="1" applyBorder="1" applyAlignment="1">
      <alignment horizontal="left" vertical="center" wrapText="1"/>
    </xf>
    <xf numFmtId="0" fontId="44" fillId="0" borderId="128" xfId="0" applyFont="1" applyFill="1" applyBorder="1" applyAlignment="1">
      <alignment horizontal="center" vertical="center" wrapText="1"/>
    </xf>
    <xf numFmtId="0" fontId="132" fillId="0" borderId="0" xfId="0" applyFont="1" applyFill="1" applyBorder="1" applyAlignment="1">
      <alignment horizontal="center" vertical="center"/>
    </xf>
    <xf numFmtId="0" fontId="44" fillId="0" borderId="0" xfId="0" applyFont="1" applyFill="1" applyAlignment="1">
      <alignment horizontal="left" wrapText="1"/>
    </xf>
    <xf numFmtId="0" fontId="48" fillId="0" borderId="2" xfId="0" applyFont="1" applyFill="1" applyBorder="1" applyAlignment="1">
      <alignment horizontal="right" vertical="top" wrapText="1"/>
    </xf>
    <xf numFmtId="0" fontId="48" fillId="0" borderId="0" xfId="0" applyFont="1" applyFill="1" applyBorder="1" applyAlignment="1">
      <alignment horizontal="right" vertical="top" wrapText="1"/>
    </xf>
    <xf numFmtId="0" fontId="125" fillId="12" borderId="0" xfId="0" applyFont="1" applyFill="1" applyBorder="1" applyAlignment="1">
      <alignment horizontal="center" vertical="center"/>
    </xf>
    <xf numFmtId="0" fontId="49" fillId="7" borderId="129" xfId="0" applyFont="1" applyFill="1" applyBorder="1" applyAlignment="1">
      <alignment vertical="center"/>
    </xf>
    <xf numFmtId="0" fontId="10" fillId="7" borderId="129" xfId="0" applyFont="1" applyFill="1" applyBorder="1" applyAlignment="1">
      <alignment vertical="center"/>
    </xf>
    <xf numFmtId="0" fontId="133" fillId="12" borderId="0" xfId="0" applyFont="1" applyFill="1" applyBorder="1" applyAlignment="1">
      <alignment vertical="center"/>
    </xf>
    <xf numFmtId="0" fontId="48" fillId="0" borderId="130" xfId="0" applyFont="1" applyFill="1" applyBorder="1" applyAlignment="1">
      <alignment horizontal="right" vertical="top" wrapText="1"/>
    </xf>
    <xf numFmtId="0" fontId="50" fillId="8" borderId="0" xfId="0" applyFont="1" applyFill="1" applyBorder="1" applyAlignment="1">
      <alignment vertical="center"/>
    </xf>
    <xf numFmtId="0" fontId="2" fillId="0" borderId="11" xfId="0" applyFont="1" applyFill="1" applyBorder="1" applyAlignment="1">
      <alignment vertical="top" wrapText="1"/>
    </xf>
    <xf numFmtId="0" fontId="131" fillId="0" borderId="131" xfId="0" applyFont="1" applyFill="1" applyBorder="1" applyAlignment="1">
      <alignment vertical="top" wrapText="1"/>
    </xf>
    <xf numFmtId="0" fontId="131" fillId="0" borderId="11" xfId="0" applyFont="1" applyFill="1" applyBorder="1" applyAlignment="1">
      <alignment vertical="top" wrapText="1"/>
    </xf>
    <xf numFmtId="0" fontId="131" fillId="0" borderId="132" xfId="0" applyFont="1" applyFill="1" applyBorder="1" applyAlignment="1">
      <alignment vertical="top" wrapText="1"/>
    </xf>
    <xf numFmtId="0" fontId="134" fillId="12" borderId="0" xfId="0" applyFont="1" applyFill="1" applyAlignment="1">
      <alignment horizontal="right" wrapText="1"/>
    </xf>
    <xf numFmtId="0" fontId="50" fillId="8" borderId="0" xfId="0" applyFont="1" applyFill="1" applyAlignment="1">
      <alignment vertical="center"/>
    </xf>
    <xf numFmtId="0" fontId="53" fillId="8" borderId="64" xfId="0" applyFont="1" applyFill="1" applyBorder="1" applyAlignment="1">
      <alignment vertical="center"/>
    </xf>
    <xf numFmtId="0" fontId="48" fillId="0" borderId="133" xfId="0" applyFont="1" applyFill="1" applyBorder="1" applyAlignment="1">
      <alignment horizontal="right" vertical="top" wrapText="1"/>
    </xf>
    <xf numFmtId="0" fontId="48" fillId="0" borderId="55" xfId="0" applyFont="1" applyFill="1" applyBorder="1" applyAlignment="1">
      <alignment horizontal="right" vertical="top" wrapText="1"/>
    </xf>
    <xf numFmtId="0" fontId="53" fillId="8" borderId="0" xfId="0" applyFont="1" applyFill="1" applyAlignment="1">
      <alignment vertical="center"/>
    </xf>
    <xf numFmtId="0" fontId="135" fillId="0" borderId="0" xfId="0" applyFont="1" applyFill="1" applyBorder="1" applyAlignment="1">
      <alignment vertical="top" wrapText="1"/>
    </xf>
    <xf numFmtId="0" fontId="64" fillId="0" borderId="128" xfId="0" applyFont="1" applyFill="1" applyBorder="1" applyAlignment="1">
      <alignment horizontal="center" vertical="center" wrapText="1"/>
    </xf>
    <xf numFmtId="0" fontId="70" fillId="0" borderId="128" xfId="0" applyFont="1" applyFill="1" applyBorder="1" applyAlignment="1">
      <alignment horizontal="center" vertical="center" wrapText="1"/>
    </xf>
    <xf numFmtId="0" fontId="136" fillId="0" borderId="0" xfId="0" applyFont="1" applyFill="1" applyBorder="1" applyAlignment="1">
      <alignment vertical="center" wrapText="1"/>
    </xf>
    <xf numFmtId="0" fontId="70" fillId="0" borderId="134" xfId="0" applyFont="1" applyFill="1" applyBorder="1" applyAlignment="1">
      <alignment horizontal="center" vertical="center" wrapText="1"/>
    </xf>
    <xf numFmtId="0" fontId="72" fillId="2" borderId="0" xfId="0" applyFont="1" applyFill="1" applyAlignment="1">
      <alignment horizontal="left" vertical="top" wrapText="1"/>
    </xf>
    <xf numFmtId="0" fontId="73" fillId="0" borderId="49" xfId="0" applyFont="1" applyFill="1" applyBorder="1" applyAlignment="1">
      <alignment wrapText="1"/>
    </xf>
    <xf numFmtId="0" fontId="73" fillId="0" borderId="50" xfId="0" applyFont="1" applyFill="1" applyBorder="1" applyAlignment="1">
      <alignment wrapText="1"/>
    </xf>
    <xf numFmtId="0" fontId="73" fillId="0" borderId="0" xfId="0" applyFont="1" applyFill="1" applyAlignment="1">
      <alignment wrapText="1"/>
    </xf>
    <xf numFmtId="0" fontId="73" fillId="0" borderId="53" xfId="0" applyFont="1" applyFill="1" applyBorder="1" applyAlignment="1">
      <alignment wrapText="1"/>
    </xf>
    <xf numFmtId="0" fontId="76" fillId="0" borderId="127" xfId="0" applyFont="1" applyFill="1" applyBorder="1" applyAlignment="1">
      <alignment horizontal="center" wrapText="1"/>
    </xf>
    <xf numFmtId="0" fontId="77" fillId="0" borderId="0" xfId="0" applyFont="1" applyFill="1" applyAlignment="1">
      <alignment vertical="center" wrapText="1"/>
    </xf>
    <xf numFmtId="0" fontId="106" fillId="0" borderId="135" xfId="0" applyFont="1" applyFill="1" applyBorder="1" applyAlignment="1">
      <alignment vertical="center" wrapText="1"/>
    </xf>
    <xf numFmtId="0" fontId="106" fillId="0" borderId="136" xfId="0" applyFont="1" applyFill="1" applyBorder="1" applyAlignment="1">
      <alignment vertical="center" wrapText="1"/>
    </xf>
    <xf numFmtId="0" fontId="106" fillId="0" borderId="137" xfId="0" applyFont="1" applyFill="1" applyBorder="1" applyAlignment="1">
      <alignment vertical="center" wrapText="1"/>
    </xf>
    <xf numFmtId="0" fontId="76" fillId="0" borderId="138" xfId="0" applyFont="1" applyFill="1" applyBorder="1" applyAlignment="1">
      <alignment horizontal="center" vertical="center" wrapText="1"/>
    </xf>
    <xf numFmtId="0" fontId="43" fillId="0" borderId="139" xfId="0" applyFont="1" applyFill="1" applyBorder="1" applyAlignment="1">
      <alignment horizontal="left" vertical="center" wrapText="1"/>
    </xf>
    <xf numFmtId="0" fontId="47" fillId="0" borderId="136" xfId="0" applyFont="1" applyFill="1" applyBorder="1" applyAlignment="1">
      <alignment vertical="center" wrapText="1"/>
    </xf>
    <xf numFmtId="0" fontId="77" fillId="0" borderId="136" xfId="0" applyFont="1" applyFill="1" applyBorder="1" applyAlignment="1">
      <alignment vertical="center" wrapText="1"/>
    </xf>
    <xf numFmtId="0" fontId="73" fillId="0" borderId="136" xfId="0" applyFont="1" applyFill="1" applyBorder="1" applyAlignment="1">
      <alignment wrapText="1"/>
    </xf>
    <xf numFmtId="0" fontId="73" fillId="0" borderId="137" xfId="0" applyFont="1" applyFill="1" applyBorder="1" applyAlignment="1">
      <alignment wrapText="1"/>
    </xf>
    <xf numFmtId="0" fontId="137" fillId="0" borderId="0" xfId="0" applyFont="1" applyFill="1" applyBorder="1" applyAlignment="1">
      <alignment vertical="top" wrapText="1"/>
    </xf>
    <xf numFmtId="0" fontId="138" fillId="13" borderId="33" xfId="0" applyFont="1" applyFill="1" applyBorder="1" applyAlignment="1">
      <alignment horizontal="right" vertical="center"/>
    </xf>
    <xf numFmtId="0" fontId="139" fillId="14" borderId="33" xfId="0" applyFont="1" applyFill="1" applyBorder="1" applyAlignment="1">
      <alignment horizontal="left" vertical="center"/>
    </xf>
    <xf numFmtId="0" fontId="132" fillId="0" borderId="33" xfId="0" applyFont="1" applyFill="1" applyBorder="1" applyAlignment="1">
      <alignment horizontal="center" vertical="center" wrapText="1"/>
    </xf>
    <xf numFmtId="0" fontId="132" fillId="0" borderId="33" xfId="0" applyFont="1" applyFill="1" applyBorder="1" applyAlignment="1">
      <alignment horizontal="center" vertical="center"/>
    </xf>
    <xf numFmtId="0" fontId="137" fillId="0" borderId="0" xfId="0" applyFont="1" applyFill="1" applyAlignment="1">
      <alignment vertical="top" wrapText="1"/>
    </xf>
    <xf numFmtId="0" fontId="138" fillId="13" borderId="0" xfId="0" applyFont="1" applyFill="1" applyBorder="1" applyAlignment="1">
      <alignment horizontal="right" vertical="center"/>
    </xf>
    <xf numFmtId="0" fontId="139" fillId="14" borderId="0" xfId="0" applyFont="1" applyFill="1" applyBorder="1" applyAlignment="1">
      <alignment horizontal="left" vertical="center"/>
    </xf>
    <xf numFmtId="0" fontId="140" fillId="0" borderId="0" xfId="0" applyFont="1" applyFill="1" applyBorder="1" applyAlignment="1">
      <alignment horizontal="center" vertical="center" wrapText="1"/>
    </xf>
    <xf numFmtId="0" fontId="132" fillId="0" borderId="0" xfId="0" applyFont="1" applyFill="1" applyBorder="1" applyAlignment="1">
      <alignment horizontal="center" vertical="top"/>
    </xf>
    <xf numFmtId="0" fontId="141" fillId="0" borderId="0" xfId="0" applyFont="1" applyFill="1" applyBorder="1" applyAlignment="1">
      <alignment horizontal="center" vertical="center" wrapText="1"/>
    </xf>
    <xf numFmtId="0" fontId="133" fillId="13" borderId="0" xfId="0" applyFont="1" applyFill="1" applyBorder="1" applyAlignment="1">
      <alignment horizontal="center" vertical="center"/>
    </xf>
    <xf numFmtId="0" fontId="1" fillId="13" borderId="0" xfId="0" applyFont="1" applyFill="1" applyBorder="1" applyAlignment="1">
      <alignment horizontal="center" vertical="center"/>
    </xf>
    <xf numFmtId="0" fontId="142" fillId="14" borderId="0" xfId="0" applyFont="1" applyFill="1" applyBorder="1" applyAlignment="1">
      <alignment horizontal="center" vertical="center"/>
    </xf>
    <xf numFmtId="0" fontId="142" fillId="0" borderId="0" xfId="0" applyFont="1" applyFill="1" applyBorder="1" applyAlignment="1">
      <alignment horizontal="center" vertical="center"/>
    </xf>
    <xf numFmtId="0" fontId="143" fillId="13" borderId="0" xfId="0" applyFont="1" applyFill="1" applyBorder="1" applyAlignment="1">
      <alignment horizontal="center" vertical="center"/>
    </xf>
    <xf numFmtId="0" fontId="1" fillId="13" borderId="140" xfId="0" applyFont="1" applyFill="1" applyBorder="1" applyAlignment="1">
      <alignment horizontal="center" vertical="center"/>
    </xf>
    <xf numFmtId="0" fontId="1" fillId="13" borderId="141" xfId="0" applyFont="1" applyFill="1" applyBorder="1" applyAlignment="1">
      <alignment horizontal="center" vertical="center"/>
    </xf>
    <xf numFmtId="0" fontId="144" fillId="14" borderId="141" xfId="0" applyFont="1" applyFill="1" applyBorder="1" applyAlignment="1">
      <alignment horizontal="center" vertical="center"/>
    </xf>
    <xf numFmtId="0" fontId="144" fillId="14" borderId="142" xfId="0" applyFont="1" applyFill="1" applyBorder="1" applyAlignment="1">
      <alignment horizontal="center" vertical="center"/>
    </xf>
    <xf numFmtId="0" fontId="145" fillId="14" borderId="0" xfId="0" applyFont="1" applyFill="1" applyBorder="1" applyAlignment="1">
      <alignment horizontal="center" vertical="center"/>
    </xf>
    <xf numFmtId="0" fontId="145" fillId="14" borderId="0" xfId="0" applyFont="1" applyFill="1" applyBorder="1" applyAlignment="1">
      <alignment vertical="center"/>
    </xf>
    <xf numFmtId="0" fontId="125" fillId="12" borderId="143" xfId="0" applyFont="1" applyFill="1" applyBorder="1" applyAlignment="1">
      <alignment horizontal="center" vertical="center"/>
    </xf>
    <xf numFmtId="0" fontId="146" fillId="13" borderId="144" xfId="0" applyFont="1" applyFill="1" applyBorder="1" applyAlignment="1">
      <alignment horizontal="right" vertical="center"/>
    </xf>
    <xf numFmtId="0" fontId="147" fillId="13" borderId="145" xfId="0" applyFont="1" applyFill="1" applyBorder="1" applyAlignment="1">
      <alignment horizontal="center" vertical="center"/>
    </xf>
    <xf numFmtId="0" fontId="147" fillId="13" borderId="144" xfId="0" applyFont="1" applyFill="1" applyBorder="1" applyAlignment="1">
      <alignment horizontal="center" vertical="center"/>
    </xf>
    <xf numFmtId="0" fontId="148" fillId="14" borderId="144" xfId="0" applyFont="1" applyFill="1" applyBorder="1" applyAlignment="1">
      <alignment horizontal="right" vertical="center"/>
    </xf>
    <xf numFmtId="0" fontId="148" fillId="14" borderId="146" xfId="0" applyFont="1" applyFill="1" applyBorder="1" applyAlignment="1">
      <alignment horizontal="center" vertical="center"/>
    </xf>
    <xf numFmtId="0" fontId="145" fillId="14" borderId="144" xfId="0" applyFont="1" applyFill="1" applyBorder="1" applyAlignment="1">
      <alignment horizontal="center" vertical="center"/>
    </xf>
    <xf numFmtId="0" fontId="149" fillId="14" borderId="144" xfId="0" applyFont="1" applyFill="1" applyBorder="1" applyAlignment="1">
      <alignment horizontal="center" vertical="center" wrapText="1"/>
    </xf>
    <xf numFmtId="0" fontId="145" fillId="14" borderId="144" xfId="0" applyFont="1" applyFill="1" applyBorder="1" applyAlignment="1">
      <alignment vertical="center"/>
    </xf>
    <xf numFmtId="0" fontId="125" fillId="0" borderId="144" xfId="0" applyFont="1" applyFill="1" applyBorder="1" applyAlignment="1">
      <alignment horizontal="center"/>
    </xf>
    <xf numFmtId="0" fontId="145" fillId="0" borderId="144" xfId="0" applyFont="1" applyFill="1" applyBorder="1" applyAlignment="1">
      <alignment vertical="center"/>
    </xf>
    <xf numFmtId="0" fontId="125" fillId="12" borderId="144" xfId="0" applyFont="1" applyFill="1" applyBorder="1" applyAlignment="1">
      <alignment horizontal="center" vertical="center"/>
    </xf>
    <xf numFmtId="0" fontId="2" fillId="0" borderId="11" xfId="0" applyFont="1" applyFill="1" applyBorder="1" applyAlignment="1">
      <alignment vertical="center" wrapText="1"/>
    </xf>
    <xf numFmtId="0" fontId="146" fillId="13" borderId="143" xfId="0" applyFont="1" applyFill="1" applyBorder="1" applyAlignment="1">
      <alignment horizontal="right" vertical="center"/>
    </xf>
    <xf numFmtId="0" fontId="147" fillId="13" borderId="147" xfId="0" applyFont="1" applyFill="1" applyBorder="1" applyAlignment="1">
      <alignment horizontal="center" vertical="center"/>
    </xf>
    <xf numFmtId="0" fontId="147" fillId="13" borderId="143" xfId="0" applyFont="1" applyFill="1" applyBorder="1" applyAlignment="1">
      <alignment horizontal="center" vertical="center"/>
    </xf>
    <xf numFmtId="0" fontId="148" fillId="14" borderId="0" xfId="0" applyFont="1" applyFill="1" applyBorder="1" applyAlignment="1">
      <alignment horizontal="right" vertical="center"/>
    </xf>
    <xf numFmtId="0" fontId="148" fillId="14" borderId="148" xfId="0" applyFont="1" applyFill="1" applyBorder="1" applyAlignment="1">
      <alignment horizontal="center" vertical="center"/>
    </xf>
    <xf numFmtId="0" fontId="149" fillId="14" borderId="0" xfId="0" applyFont="1" applyFill="1" applyBorder="1" applyAlignment="1">
      <alignment horizontal="center" vertical="center"/>
    </xf>
    <xf numFmtId="0" fontId="125" fillId="0" borderId="0" xfId="0" applyFont="1" applyFill="1" applyBorder="1" applyAlignment="1">
      <alignment horizontal="center"/>
    </xf>
    <xf numFmtId="0" fontId="145" fillId="0" borderId="0" xfId="0" applyFont="1" applyFill="1" applyBorder="1" applyAlignment="1">
      <alignment vertical="center"/>
    </xf>
    <xf numFmtId="0" fontId="136" fillId="0" borderId="0" xfId="0" applyFont="1" applyFill="1" applyBorder="1" applyAlignment="1">
      <alignment horizontal="left" vertical="center" wrapText="1"/>
    </xf>
    <xf numFmtId="0" fontId="150" fillId="0" borderId="4" xfId="0" applyFont="1" applyFill="1" applyBorder="1" applyAlignment="1">
      <alignment vertical="center" wrapText="1"/>
    </xf>
    <xf numFmtId="0" fontId="151" fillId="0" borderId="4" xfId="0" applyFont="1" applyFill="1" applyBorder="1" applyAlignment="1">
      <alignment vertical="center" wrapText="1"/>
    </xf>
    <xf numFmtId="0" fontId="152" fillId="13" borderId="147" xfId="0" applyFont="1" applyFill="1" applyBorder="1" applyAlignment="1">
      <alignment horizontal="center" vertical="center"/>
    </xf>
    <xf numFmtId="0" fontId="148" fillId="14" borderId="149" xfId="0" applyFont="1" applyFill="1" applyBorder="1" applyAlignment="1">
      <alignment horizontal="center" vertical="center"/>
    </xf>
    <xf numFmtId="0" fontId="148" fillId="14" borderId="150" xfId="0" applyFont="1" applyFill="1" applyBorder="1" applyAlignment="1">
      <alignment horizontal="center" vertical="center"/>
    </xf>
    <xf numFmtId="0" fontId="149" fillId="14" borderId="0" xfId="0" applyFont="1" applyFill="1" applyBorder="1" applyAlignment="1">
      <alignment horizontal="center" vertical="center" wrapText="1"/>
    </xf>
    <xf numFmtId="0" fontId="125" fillId="12" borderId="0" xfId="0" applyFont="1" applyFill="1" applyBorder="1" applyAlignment="1">
      <alignment horizontal="center" vertical="center" wrapText="1"/>
    </xf>
    <xf numFmtId="0" fontId="151" fillId="0" borderId="0" xfId="0" applyFont="1" applyFill="1" applyAlignment="1">
      <alignment vertical="center" wrapText="1"/>
    </xf>
    <xf numFmtId="0" fontId="144" fillId="14" borderId="143" xfId="0" applyFont="1" applyFill="1" applyBorder="1" applyAlignment="1">
      <alignment horizontal="right" vertical="center"/>
    </xf>
    <xf numFmtId="0" fontId="144" fillId="14" borderId="151" xfId="0" applyFont="1" applyFill="1" applyBorder="1" applyAlignment="1">
      <alignment horizontal="center" vertical="center"/>
    </xf>
    <xf numFmtId="0" fontId="153" fillId="14" borderId="143" xfId="0" applyFont="1" applyFill="1" applyBorder="1" applyAlignment="1">
      <alignment horizontal="center" vertical="center"/>
    </xf>
    <xf numFmtId="0" fontId="154" fillId="14" borderId="143" xfId="0" applyFont="1" applyFill="1" applyBorder="1" applyAlignment="1">
      <alignment horizontal="center" vertical="center" wrapText="1"/>
    </xf>
    <xf numFmtId="0" fontId="145" fillId="14" borderId="143" xfId="0" applyFont="1" applyFill="1" applyBorder="1" applyAlignment="1">
      <alignment vertical="center"/>
    </xf>
    <xf numFmtId="0" fontId="125" fillId="12" borderId="143" xfId="0" applyFont="1" applyFill="1" applyBorder="1" applyAlignment="1">
      <alignment horizontal="center" vertical="center" wrapText="1"/>
    </xf>
    <xf numFmtId="0" fontId="155" fillId="13" borderId="0" xfId="0" applyFont="1" applyFill="1" applyBorder="1" applyAlignment="1">
      <alignment vertical="center"/>
    </xf>
    <xf numFmtId="0" fontId="147" fillId="13" borderId="152" xfId="0" applyFont="1" applyFill="1" applyBorder="1" applyAlignment="1">
      <alignment vertical="center"/>
    </xf>
    <xf numFmtId="0" fontId="147" fillId="13" borderId="153" xfId="0" applyFont="1" applyFill="1" applyBorder="1" applyAlignment="1">
      <alignment vertical="center"/>
    </xf>
    <xf numFmtId="0" fontId="148" fillId="14" borderId="153" xfId="0" applyFont="1" applyFill="1" applyBorder="1" applyAlignment="1">
      <alignment horizontal="center" vertical="center"/>
    </xf>
    <xf numFmtId="0" fontId="148" fillId="14" borderId="154" xfId="0" applyFont="1" applyFill="1" applyBorder="1" applyAlignment="1">
      <alignment horizontal="center" vertical="center"/>
    </xf>
    <xf numFmtId="0" fontId="136" fillId="0" borderId="7" xfId="0" applyFont="1" applyFill="1" applyBorder="1" applyAlignment="1">
      <alignment horizontal="center" vertical="center" wrapText="1"/>
    </xf>
    <xf numFmtId="0" fontId="136" fillId="0" borderId="7" xfId="0" applyFont="1" applyFill="1" applyBorder="1" applyAlignment="1">
      <alignment vertical="center" wrapText="1"/>
    </xf>
    <xf numFmtId="0" fontId="136" fillId="0" borderId="0" xfId="0" applyFont="1" applyFill="1" applyBorder="1" applyAlignment="1">
      <alignment horizontal="center" vertical="center" wrapText="1"/>
    </xf>
    <xf numFmtId="0" fontId="130" fillId="0" borderId="0" xfId="0" applyFont="1" applyFill="1" applyBorder="1" applyAlignment="1">
      <alignment vertical="top" wrapText="1"/>
    </xf>
    <xf numFmtId="0" fontId="136" fillId="0" borderId="8" xfId="0" applyFont="1" applyFill="1" applyBorder="1" applyAlignment="1">
      <alignment horizontal="center" vertical="center" wrapText="1"/>
    </xf>
    <xf numFmtId="0" fontId="136" fillId="0" borderId="8" xfId="0" applyFont="1" applyFill="1" applyBorder="1" applyAlignment="1">
      <alignment vertical="center" wrapText="1"/>
    </xf>
    <xf numFmtId="0" fontId="151" fillId="0" borderId="11" xfId="0" applyFont="1" applyFill="1" applyBorder="1" applyAlignment="1">
      <alignment vertical="center" wrapText="1"/>
    </xf>
    <xf numFmtId="0" fontId="88" fillId="0" borderId="0" xfId="0" applyFont="1" applyFill="1" applyBorder="1" applyAlignment="1">
      <alignment wrapText="1"/>
    </xf>
    <xf numFmtId="0" fontId="88" fillId="0" borderId="10" xfId="0" applyFont="1" applyFill="1" applyBorder="1" applyAlignment="1">
      <alignment wrapText="1"/>
    </xf>
    <xf numFmtId="0" fontId="87" fillId="0" borderId="0" xfId="0" applyFont="1" applyFill="1" applyBorder="1" applyAlignment="1">
      <alignment horizontal="left" vertical="top" wrapText="1"/>
    </xf>
    <xf numFmtId="0" fontId="87" fillId="0" borderId="0" xfId="0" applyFont="1" applyFill="1" applyBorder="1" applyAlignment="1">
      <alignment horizontal="left" vertical="top" wrapText="1"/>
    </xf>
    <xf numFmtId="0" fontId="87" fillId="0" borderId="0" xfId="0" applyFont="1" applyFill="1" applyBorder="1" applyAlignment="1">
      <alignment horizontal="left" vertical="top" wrapText="1"/>
    </xf>
    <xf numFmtId="0" fontId="113" fillId="10" borderId="0" xfId="0" applyFont="1" applyFill="1" applyAlignment="1" quotePrefix="1">
      <alignment horizontal="left" vertical="center"/>
    </xf>
    <xf numFmtId="0" fontId="113" fillId="10" borderId="0" xfId="0" applyFont="1" applyFill="1" applyBorder="1" applyAlignment="1" quotePrefix="1">
      <alignment horizontal="left" vertical="center"/>
    </xf>
    <xf numFmtId="0" fontId="59" fillId="6" borderId="76" xfId="0" applyFont="1" applyFill="1" applyBorder="1" applyAlignment="1" quotePrefix="1">
      <alignment horizontal="left" vertical="center" wrapText="1"/>
    </xf>
    <xf numFmtId="0" fontId="61" fillId="8" borderId="76" xfId="0" applyFont="1" applyFill="1" applyBorder="1" applyAlignment="1" quotePrefix="1">
      <alignment horizontal="right" vertical="center" wrapText="1"/>
    </xf>
    <xf numFmtId="0" fontId="62" fillId="8" borderId="76" xfId="0" applyFont="1" applyFill="1" applyBorder="1" applyAlignment="1" quotePrefix="1">
      <alignment horizontal="left" vertical="center" wrapText="1"/>
    </xf>
    <xf numFmtId="0" fontId="67" fillId="2" borderId="0" xfId="0" applyFont="1" applyFill="1" applyBorder="1" applyAlignment="1" quotePrefix="1">
      <alignment horizontal="left" vertical="center" wrapText="1"/>
    </xf>
    <xf numFmtId="0" fontId="66" fillId="2" borderId="0" xfId="0" applyFont="1" applyFill="1" applyBorder="1" applyAlignment="1" quotePrefix="1">
      <alignment horizontal="left" vertical="center" wrapText="1"/>
    </xf>
    <xf numFmtId="0" fontId="59" fillId="6" borderId="0" xfId="0" applyFont="1" applyFill="1" applyBorder="1" applyAlignment="1" quotePrefix="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F7D9"/>
      <color rgb="007F9698"/>
      <color rgb="00FF0000"/>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NULL" TargetMode="External"/><Relationship Id="rId1" Type="http://schemas.openxmlformats.org/officeDocument/2006/relationships/image" Target="media/image3.jpeg"/></Relationships>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www.wps.cn/officeDocument/2020/cellImage" Target="cellimag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22</xdr:col>
      <xdr:colOff>0</xdr:colOff>
      <xdr:row>276</xdr:row>
      <xdr:rowOff>33655</xdr:rowOff>
    </xdr:from>
    <xdr:to>
      <xdr:col>25</xdr:col>
      <xdr:colOff>131445</xdr:colOff>
      <xdr:row>279</xdr:row>
      <xdr:rowOff>142240</xdr:rowOff>
    </xdr:to>
    <xdr:pic>
      <xdr:nvPicPr>
        <xdr:cNvPr id="2" name="图片 2" descr="/Users/panjun/Library/Containers/com.kingsoft.wpsoffice.mac/Data/tmp/photoeditapp/20260715165742/temp.pngtemp"/>
        <xdr:cNvPicPr>
          <a:picLocks noChangeAspect="1"/>
        </xdr:cNvPicPr>
      </xdr:nvPicPr>
      <xdr:blipFill>
        <a:blip r:embed="rId1"/>
        <a:stretch>
          <a:fillRect/>
        </a:stretch>
      </xdr:blipFill>
      <xdr:spPr>
        <a:xfrm>
          <a:off x="36404550" y="55951755"/>
          <a:ext cx="882015" cy="680085"/>
        </a:xfrm>
        <a:prstGeom prst="rect">
          <a:avLst/>
        </a:prstGeom>
        <a:noFill/>
        <a:ln w="9525">
          <a:noFill/>
        </a:ln>
      </xdr:spPr>
    </xdr:pic>
    <xdr:clientData/>
  </xdr:twoCellAnchor>
  <xdr:twoCellAnchor editAs="oneCell">
    <xdr:from>
      <xdr:col>70</xdr:col>
      <xdr:colOff>222885</xdr:colOff>
      <xdr:row>121</xdr:row>
      <xdr:rowOff>33655</xdr:rowOff>
    </xdr:from>
    <xdr:to>
      <xdr:col>72</xdr:col>
      <xdr:colOff>144145</xdr:colOff>
      <xdr:row>124</xdr:row>
      <xdr:rowOff>142240</xdr:rowOff>
    </xdr:to>
    <xdr:pic>
      <xdr:nvPicPr>
        <xdr:cNvPr id="3" name="图片 2" descr="/Users/panjun/Library/Containers/com.kingsoft.wpsoffice.mac/Data/tmp/photoeditapp/20260715165742/temp.pngtemp"/>
        <xdr:cNvPicPr>
          <a:picLocks noChangeAspect="1"/>
        </xdr:cNvPicPr>
      </xdr:nvPicPr>
      <xdr:blipFill>
        <a:blip r:embed="rId1"/>
        <a:stretch>
          <a:fillRect/>
        </a:stretch>
      </xdr:blipFill>
      <xdr:spPr>
        <a:xfrm>
          <a:off x="62250320" y="26424255"/>
          <a:ext cx="882015" cy="68008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1036955</xdr:colOff>
      <xdr:row>9</xdr:row>
      <xdr:rowOff>47625</xdr:rowOff>
    </xdr:from>
    <xdr:to>
      <xdr:col>8</xdr:col>
      <xdr:colOff>113030</xdr:colOff>
      <xdr:row>9</xdr:row>
      <xdr:rowOff>236855</xdr:rowOff>
    </xdr:to>
    <xdr:pic>
      <xdr:nvPicPr>
        <xdr:cNvPr id="11" name="图片 9" descr="/Users/panjun/Library/Containers/com.kingsoft.wpsoffice.mac/Data/tmp/photoeditapp/20260902093455/temp.pngtemp"/>
        <xdr:cNvPicPr>
          <a:picLocks noChangeAspect="1"/>
        </xdr:cNvPicPr>
      </xdr:nvPicPr>
      <xdr:blipFill>
        <a:blip r:embed="rId1"/>
        <a:srcRect l="7008" r="12148" b="11702"/>
        <a:stretch>
          <a:fillRect/>
        </a:stretch>
      </xdr:blipFill>
      <xdr:spPr>
        <a:xfrm rot="2460000">
          <a:off x="2330450" y="1887220"/>
          <a:ext cx="320040" cy="189230"/>
        </a:xfrm>
        <a:prstGeom prst="rect">
          <a:avLst/>
        </a:prstGeom>
        <a:noFill/>
        <a:ln w="9525">
          <a:noFill/>
        </a:ln>
      </xdr:spPr>
    </xdr:pic>
    <xdr:clientData/>
  </xdr:twoCellAnchor>
  <xdr:twoCellAnchor editAs="oneCell">
    <xdr:from>
      <xdr:col>4</xdr:col>
      <xdr:colOff>187960</xdr:colOff>
      <xdr:row>6</xdr:row>
      <xdr:rowOff>29845</xdr:rowOff>
    </xdr:from>
    <xdr:to>
      <xdr:col>6</xdr:col>
      <xdr:colOff>115570</xdr:colOff>
      <xdr:row>6</xdr:row>
      <xdr:rowOff>219075</xdr:rowOff>
    </xdr:to>
    <xdr:pic>
      <xdr:nvPicPr>
        <xdr:cNvPr id="12" name="图片 10" descr="/Users/panjun/Library/Containers/com.kingsoft.wpsoffice.mac/Data/tmp/photoeditapp/20260902093455/temp.pngtemp"/>
        <xdr:cNvPicPr>
          <a:picLocks noChangeAspect="1"/>
        </xdr:cNvPicPr>
      </xdr:nvPicPr>
      <xdr:blipFill>
        <a:blip r:embed="rId1"/>
        <a:srcRect l="7008" r="12148" b="11702"/>
        <a:stretch>
          <a:fillRect/>
        </a:stretch>
      </xdr:blipFill>
      <xdr:spPr>
        <a:xfrm rot="2460000">
          <a:off x="1087755" y="1170305"/>
          <a:ext cx="321310" cy="189230"/>
        </a:xfrm>
        <a:prstGeom prst="rect">
          <a:avLst/>
        </a:prstGeom>
        <a:noFill/>
        <a:ln w="9525">
          <a:noFill/>
        </a:ln>
      </xdr:spPr>
    </xdr:pic>
    <xdr:clientData/>
  </xdr:twoCellAnchor>
  <xdr:twoCellAnchor editAs="oneCell">
    <xdr:from>
      <xdr:col>15</xdr:col>
      <xdr:colOff>701040</xdr:colOff>
      <xdr:row>7</xdr:row>
      <xdr:rowOff>23495</xdr:rowOff>
    </xdr:from>
    <xdr:to>
      <xdr:col>16</xdr:col>
      <xdr:colOff>69215</xdr:colOff>
      <xdr:row>7</xdr:row>
      <xdr:rowOff>212725</xdr:rowOff>
    </xdr:to>
    <xdr:pic>
      <xdr:nvPicPr>
        <xdr:cNvPr id="13" name="图片 11" descr="/Users/panjun/Library/Containers/com.kingsoft.wpsoffice.mac/Data/tmp/photoeditapp/20260902093455/temp.pngtemp"/>
        <xdr:cNvPicPr>
          <a:picLocks noChangeAspect="1"/>
        </xdr:cNvPicPr>
      </xdr:nvPicPr>
      <xdr:blipFill>
        <a:blip r:embed="rId1"/>
        <a:srcRect l="7008" r="12148" b="11702"/>
        <a:stretch>
          <a:fillRect/>
        </a:stretch>
      </xdr:blipFill>
      <xdr:spPr>
        <a:xfrm rot="2460000">
          <a:off x="5179695" y="1397000"/>
          <a:ext cx="320675" cy="18923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CM446"/>
  <sheetViews>
    <sheetView tabSelected="1" zoomScale="15" zoomScaleNormal="15" workbookViewId="0">
      <selection activeCell="DN226" sqref="DN226"/>
    </sheetView>
  </sheetViews>
  <sheetFormatPr defaultColWidth="9.84615384615385" defaultRowHeight="15" customHeight="1"/>
  <cols>
    <col min="1" max="1" width="4.54807692307692" style="260" customWidth="1"/>
    <col min="2" max="3" width="48.7211538461538" style="27" customWidth="1"/>
    <col min="4" max="4" width="1.11538461538462" style="27" customWidth="1"/>
    <col min="5" max="5" width="4.21153846153846" style="27" customWidth="1"/>
    <col min="6" max="6" width="11.5384615384615" style="27" customWidth="1"/>
    <col min="7" max="7" width="19.7115384615385" style="27" customWidth="1"/>
    <col min="8" max="8" width="80.125" style="27" customWidth="1"/>
    <col min="9" max="9" width="8.00961538461539" style="27" customWidth="1"/>
    <col min="10" max="10" width="8.80769230769231" style="261" customWidth="1"/>
    <col min="11" max="11" width="2.88461538461538" style="27" customWidth="1"/>
    <col min="12" max="12" width="2.5" style="27" customWidth="1"/>
    <col min="13" max="13" width="19.2307692307692" style="27" customWidth="1"/>
    <col min="14" max="14" width="9.61538461538461" style="27" customWidth="1"/>
    <col min="15" max="15" width="23.6826923076923" style="27" customWidth="1"/>
    <col min="16" max="16" width="8.61538461538461" style="27" customWidth="1"/>
    <col min="17" max="17" width="41.6538461538462" style="27" customWidth="1"/>
    <col min="18" max="18" width="10.3076923076923" style="27" customWidth="1"/>
    <col min="19" max="19" width="36.2307692307692" style="27" customWidth="1"/>
    <col min="20" max="20" width="2.21153846153846" style="27" customWidth="1"/>
    <col min="21" max="21" width="158.009615384615" style="27" customWidth="1"/>
    <col min="22" max="22" width="0.798076923076923" style="27" customWidth="1"/>
    <col min="23" max="23" width="2.69230769230769" style="27" customWidth="1"/>
    <col min="24" max="24" width="4" style="27" customWidth="1"/>
    <col min="25" max="26" width="4.67307692307692" style="27" customWidth="1"/>
    <col min="27" max="27" width="2.69230769230769" style="27" customWidth="1"/>
    <col min="28" max="28" width="5.17307692307692" style="27" customWidth="1"/>
    <col min="29" max="29" width="3.26923076923077" style="27" customWidth="1"/>
    <col min="30" max="30" width="2.69230769230769" style="27" customWidth="1"/>
    <col min="31" max="31" width="5.81730769230769" style="27" customWidth="1"/>
    <col min="32" max="32" width="10.6730769230769" style="27" customWidth="1"/>
    <col min="33" max="33" width="2.71153846153846" style="27" customWidth="1"/>
    <col min="34" max="34" width="2.875" style="27" customWidth="1"/>
    <col min="35" max="35" width="2.71153846153846" style="27" customWidth="1"/>
    <col min="36" max="36" width="13.4423076923077" style="27" customWidth="1"/>
    <col min="37" max="37" width="3.01923076923077" style="27" customWidth="1"/>
    <col min="38" max="38" width="5.57692307692308" style="27" customWidth="1"/>
    <col min="39" max="39" width="2.71153846153846" style="27" customWidth="1"/>
    <col min="40" max="40" width="13.6730769230769" style="27" customWidth="1"/>
    <col min="41" max="41" width="2.66346153846154" style="27" customWidth="1"/>
    <col min="42" max="42" width="2.875" style="27" customWidth="1"/>
    <col min="43" max="43" width="2.71153846153846" style="27" customWidth="1"/>
    <col min="44" max="44" width="12.8173076923077" style="27" customWidth="1"/>
    <col min="45" max="45" width="2.71153846153846" style="27" customWidth="1"/>
    <col min="46" max="46" width="2.875" style="27" customWidth="1"/>
    <col min="47" max="47" width="2.71153846153846" style="27" customWidth="1"/>
    <col min="48" max="48" width="16.1538461538462" style="27" customWidth="1"/>
    <col min="49" max="49" width="3.70192307692308" style="27" customWidth="1"/>
    <col min="50" max="50" width="1.17307692307692" style="27" customWidth="1"/>
    <col min="51" max="51" width="96.0288461538462" style="11" customWidth="1"/>
    <col min="52" max="52" width="11.7307692307692" style="11" customWidth="1"/>
    <col min="53" max="53" width="11" style="262" customWidth="1"/>
    <col min="54" max="55" width="8.53846153846154" style="262" customWidth="1"/>
    <col min="56" max="56" width="8.92307692307692" style="262" customWidth="1"/>
    <col min="57" max="57" width="1.58653846153846" customWidth="1"/>
    <col min="58" max="58" width="3.07692307692308" customWidth="1"/>
    <col min="59" max="59" width="1.25" customWidth="1"/>
    <col min="60" max="60" width="7.06730769230769" customWidth="1"/>
    <col min="61" max="61" width="6.53846153846154" customWidth="1"/>
    <col min="62" max="62" width="5.69230769230769" customWidth="1"/>
    <col min="63" max="63" width="4.84615384615385" customWidth="1"/>
    <col min="64" max="64" width="5.11538461538461" customWidth="1"/>
    <col min="65" max="65" width="5.18269230769231" customWidth="1"/>
    <col min="66" max="66" width="8.99038461538461" customWidth="1"/>
    <col min="67" max="67" width="15.2211538461538" customWidth="1"/>
    <col min="68" max="68" width="14.2692307692308" customWidth="1"/>
    <col min="69" max="69" width="14.3846153846154" customWidth="1"/>
    <col min="70" max="70" width="6.53846153846154" customWidth="1"/>
    <col min="71" max="71" width="8.00961538461539" customWidth="1"/>
    <col min="72" max="77" width="6.53846153846154" customWidth="1"/>
    <col min="78" max="78" width="3.45192307692308" customWidth="1"/>
    <col min="79" max="81" width="165.865384615385" style="27" customWidth="1"/>
    <col min="82" max="82" width="157.057692307692" style="27" customWidth="1"/>
    <col min="83" max="16209" width="9.84615384615385" style="27"/>
    <col min="16210" max="16384" width="9.84615384615385" style="260"/>
  </cols>
  <sheetData>
    <row r="1" s="27" customFormat="1" ht="278" customHeight="1" spans="1:81 16210:16315">
      <c r="A1" s="263" t="s">
        <v>0</v>
      </c>
      <c r="B1" s="264"/>
      <c r="C1" s="264"/>
      <c r="D1" s="264"/>
      <c r="E1" s="264"/>
      <c r="F1" s="264"/>
      <c r="G1" s="264"/>
      <c r="H1" s="264"/>
      <c r="I1" s="264"/>
      <c r="J1" s="265"/>
      <c r="K1" s="266" t="s">
        <v>1</v>
      </c>
      <c r="L1" s="267"/>
      <c r="M1" s="267"/>
      <c r="N1" s="267"/>
      <c r="O1" s="267"/>
      <c r="P1" s="267"/>
      <c r="Q1" s="267"/>
      <c r="R1" s="267"/>
      <c r="S1" s="267"/>
      <c r="T1" s="267"/>
      <c r="U1" s="267"/>
      <c r="V1" s="267"/>
      <c r="W1" s="267"/>
      <c r="X1" s="267"/>
      <c r="Y1" s="267"/>
      <c r="Z1" s="267"/>
      <c r="AA1" s="267"/>
      <c r="AB1" s="267"/>
      <c r="AC1" s="267"/>
      <c r="AD1" s="267"/>
      <c r="AE1" s="267"/>
      <c r="AF1" s="267"/>
      <c r="AG1" s="267"/>
      <c r="AH1" s="267"/>
      <c r="AI1" s="267"/>
      <c r="AJ1" s="267"/>
      <c r="AK1" s="267"/>
      <c r="AL1" s="267"/>
      <c r="AM1" s="267"/>
      <c r="AN1" s="267"/>
      <c r="AO1" s="267"/>
      <c r="AP1" s="267"/>
      <c r="AQ1" s="267"/>
      <c r="AR1" s="267"/>
      <c r="AS1" s="267"/>
      <c r="AT1" s="267"/>
      <c r="AU1" s="267"/>
      <c r="AV1" s="267"/>
      <c r="AW1" s="267"/>
      <c r="AX1" s="267"/>
      <c r="AY1" s="267"/>
      <c r="AZ1" s="267"/>
      <c r="BA1" s="267"/>
      <c r="BB1" s="267"/>
      <c r="BC1" s="267"/>
      <c r="BD1" s="267"/>
      <c r="BE1" s="267"/>
      <c r="BF1" s="267"/>
      <c r="BG1" s="267"/>
      <c r="BH1" s="267"/>
      <c r="BI1" s="267"/>
      <c r="BJ1" s="267"/>
      <c r="BK1" s="267"/>
      <c r="BL1" s="267"/>
      <c r="BM1" s="267"/>
      <c r="BN1" s="267"/>
      <c r="BO1" s="267"/>
      <c r="BP1" s="267"/>
      <c r="BQ1" s="267"/>
      <c r="BR1" s="267"/>
      <c r="BS1" s="267"/>
      <c r="BT1" s="267"/>
      <c r="BU1" s="267"/>
      <c r="BV1" s="267"/>
      <c r="BW1" s="267"/>
      <c r="BX1" s="267"/>
      <c r="BY1" s="267"/>
      <c r="BZ1" s="267"/>
      <c r="CA1" s="268" t="s">
        <v>2</v>
      </c>
      <c r="CB1" s="269"/>
      <c r="CC1" s="270"/>
      <c r="WYL1" s="260"/>
      <c r="WYM1" s="260"/>
      <c r="WYN1" s="260"/>
      <c r="WYO1" s="260"/>
      <c r="WYP1" s="260"/>
      <c r="WYQ1" s="260"/>
      <c r="WYR1" s="260"/>
      <c r="WYS1" s="260"/>
      <c r="WYT1" s="260"/>
      <c r="WYU1" s="260"/>
      <c r="WYV1" s="260"/>
      <c r="WYW1" s="260"/>
      <c r="WYX1" s="260"/>
      <c r="WYY1" s="260"/>
      <c r="WYZ1" s="260"/>
      <c r="WZA1" s="260"/>
      <c r="WZB1" s="260"/>
      <c r="WZC1" s="260"/>
      <c r="WZD1" s="260"/>
      <c r="WZE1" s="260"/>
      <c r="WZF1" s="260"/>
      <c r="WZG1" s="260"/>
      <c r="WZH1" s="260"/>
      <c r="WZI1" s="260"/>
      <c r="WZJ1" s="260"/>
      <c r="WZK1" s="260"/>
      <c r="WZL1" s="260"/>
      <c r="WZM1" s="260"/>
      <c r="WZN1" s="260"/>
      <c r="WZO1" s="260"/>
      <c r="WZP1" s="260"/>
      <c r="WZQ1" s="260"/>
      <c r="WZR1" s="260"/>
      <c r="WZS1" s="260"/>
      <c r="WZT1" s="260"/>
      <c r="WZU1" s="260"/>
      <c r="WZV1" s="260"/>
      <c r="WZW1" s="260"/>
      <c r="WZX1" s="260"/>
      <c r="WZY1" s="260"/>
      <c r="WZZ1" s="260"/>
      <c r="XAA1" s="260"/>
      <c r="XAB1" s="260"/>
      <c r="XAC1" s="260"/>
      <c r="XAD1" s="260"/>
      <c r="XAE1" s="260"/>
      <c r="XAF1" s="260"/>
      <c r="XAG1" s="260"/>
      <c r="XAH1" s="260"/>
      <c r="XAI1" s="260"/>
      <c r="XAJ1" s="260"/>
      <c r="XAK1" s="260"/>
      <c r="XAL1" s="260"/>
      <c r="XAM1" s="260"/>
      <c r="XAN1" s="260"/>
      <c r="XAO1" s="260"/>
      <c r="XAP1" s="260"/>
      <c r="XAQ1" s="260"/>
      <c r="XAR1" s="260"/>
      <c r="XAS1" s="260"/>
      <c r="XAT1" s="260"/>
      <c r="XAU1" s="260"/>
      <c r="XAV1" s="260"/>
      <c r="XAW1" s="260"/>
      <c r="XAX1" s="260"/>
      <c r="XAY1" s="260"/>
      <c r="XAZ1" s="260"/>
      <c r="XBA1" s="260"/>
      <c r="XBB1" s="260"/>
      <c r="XBC1" s="260"/>
      <c r="XBD1" s="260"/>
      <c r="XBE1" s="260"/>
      <c r="XBF1" s="260"/>
      <c r="XBG1" s="260"/>
      <c r="XBH1" s="260"/>
      <c r="XBI1" s="260"/>
      <c r="XBJ1" s="260"/>
      <c r="XBK1" s="260"/>
      <c r="XBL1" s="260"/>
      <c r="XBM1" s="260"/>
      <c r="XBN1" s="260"/>
      <c r="XBO1" s="260"/>
      <c r="XBP1" s="260"/>
      <c r="XBQ1" s="260"/>
      <c r="XBR1" s="260"/>
      <c r="XBS1" s="260"/>
      <c r="XBT1" s="260"/>
      <c r="XBU1" s="260"/>
      <c r="XBV1" s="260"/>
      <c r="XBW1" s="260"/>
      <c r="XBX1" s="260"/>
      <c r="XBY1" s="260"/>
      <c r="XBZ1" s="260"/>
      <c r="XCA1" s="260"/>
      <c r="XCB1" s="260"/>
      <c r="XCC1" s="260"/>
      <c r="XCD1" s="260"/>
      <c r="XCE1" s="260"/>
      <c r="XCF1" s="260"/>
      <c r="XCG1" s="260"/>
      <c r="XCH1" s="260"/>
      <c r="XCI1" s="260"/>
      <c r="XCJ1" s="260"/>
      <c r="XCK1" s="260"/>
      <c r="XCL1" s="260"/>
      <c r="XCM1" s="260"/>
    </row>
    <row r="2" s="27" customFormat="1" customHeight="1" spans="1:81 16210:16315">
      <c r="B2" s="29" t="s">
        <v>3</v>
      </c>
      <c r="C2" s="30"/>
      <c r="E2" s="29" t="s">
        <v>4</v>
      </c>
      <c r="F2" s="29"/>
      <c r="G2" s="29"/>
      <c r="H2" s="29"/>
      <c r="I2" s="29"/>
      <c r="J2" s="261"/>
      <c r="K2" s="29" t="str">
        <f>_xlfn.DISPIMG("ID_234EB9749BBE4F0186998ADBD17A81D7",1)</f>
        <v>=DISPIMG("ID_234EB9749BBE4F0186998ADBD17A81D7",1)</v>
      </c>
      <c r="L2" s="29"/>
      <c r="M2" s="29"/>
      <c r="N2" s="29"/>
      <c r="O2" s="29"/>
      <c r="P2" s="29"/>
      <c r="Q2" s="29"/>
      <c r="R2" s="29"/>
      <c r="S2" s="29"/>
      <c r="T2" s="29"/>
      <c r="U2" s="271" t="s">
        <v>5</v>
      </c>
      <c r="V2" s="271"/>
      <c r="W2" s="272" t="s">
        <v>6</v>
      </c>
      <c r="X2" s="272"/>
      <c r="Y2" s="272"/>
      <c r="Z2" s="272"/>
      <c r="AA2" s="272"/>
      <c r="AB2" s="272"/>
      <c r="AC2" s="272"/>
      <c r="AD2" s="272"/>
      <c r="AE2" s="272"/>
      <c r="AF2" s="272"/>
      <c r="AG2" s="272"/>
      <c r="AH2" s="272"/>
      <c r="AI2" s="272"/>
      <c r="AJ2" s="272"/>
      <c r="AK2" s="272"/>
      <c r="AL2" s="272"/>
      <c r="AM2" s="272"/>
      <c r="AN2" s="272"/>
      <c r="AO2" s="272"/>
      <c r="AP2" s="272"/>
      <c r="AQ2" s="272"/>
      <c r="AR2" s="272"/>
      <c r="AS2" s="272"/>
      <c r="AT2" s="272"/>
      <c r="AU2" s="272"/>
      <c r="AV2" s="272"/>
      <c r="AW2" s="272"/>
      <c r="AX2"/>
      <c r="AY2" s="271" t="s">
        <v>7</v>
      </c>
      <c r="AZ2" s="271"/>
      <c r="BA2" s="271"/>
      <c r="BB2" s="271"/>
      <c r="BC2" s="271"/>
      <c r="BD2" s="271"/>
      <c r="BE2" s="11"/>
      <c r="BF2" s="273" t="s">
        <v>8</v>
      </c>
      <c r="BG2" s="274"/>
      <c r="BH2" s="274"/>
      <c r="BI2" s="274"/>
      <c r="BJ2" s="274"/>
      <c r="BK2" s="274"/>
      <c r="BL2" s="274"/>
      <c r="BM2" s="274"/>
      <c r="BN2" s="274"/>
      <c r="BO2" s="274"/>
      <c r="BP2" s="274"/>
      <c r="BQ2" s="274"/>
      <c r="BR2" s="274"/>
      <c r="BS2" s="274"/>
      <c r="BT2" s="274"/>
      <c r="BU2" s="274"/>
      <c r="BV2" s="274"/>
      <c r="BW2" s="274"/>
      <c r="BX2" s="274"/>
      <c r="BY2" s="274"/>
      <c r="BZ2" s="274"/>
      <c r="CA2" s="275"/>
      <c r="CB2" s="276"/>
      <c r="CC2" s="277"/>
    </row>
    <row r="3" s="27" customFormat="1" customHeight="1" spans="1:81 16210:16315">
      <c r="B3" s="29"/>
      <c r="C3" s="30"/>
      <c r="E3" s="29"/>
      <c r="F3" s="29"/>
      <c r="G3" s="29"/>
      <c r="H3" s="29"/>
      <c r="I3" s="29"/>
      <c r="J3" s="261"/>
      <c r="K3" s="29"/>
      <c r="L3" s="30"/>
      <c r="M3" s="30"/>
      <c r="N3" s="30"/>
      <c r="O3" s="30"/>
      <c r="P3" s="30"/>
      <c r="Q3" s="30"/>
      <c r="R3" s="30"/>
      <c r="S3" s="30"/>
      <c r="T3" s="29"/>
      <c r="U3" s="271"/>
      <c r="V3" s="271"/>
      <c r="W3" s="272"/>
      <c r="X3" s="278"/>
      <c r="Y3" s="278"/>
      <c r="Z3" s="278"/>
      <c r="AA3" s="278"/>
      <c r="AB3" s="278"/>
      <c r="AC3" s="278"/>
      <c r="AD3" s="278"/>
      <c r="AE3" s="278"/>
      <c r="AF3" s="278"/>
      <c r="AG3" s="278"/>
      <c r="AH3" s="278"/>
      <c r="AI3" s="278"/>
      <c r="AJ3" s="278"/>
      <c r="AK3" s="278"/>
      <c r="AL3" s="278"/>
      <c r="AM3" s="278"/>
      <c r="AN3" s="278"/>
      <c r="AO3" s="278"/>
      <c r="AP3" s="278"/>
      <c r="AQ3" s="278"/>
      <c r="AR3" s="278"/>
      <c r="AS3" s="278"/>
      <c r="AT3" s="278"/>
      <c r="AU3" s="278"/>
      <c r="AV3" s="278"/>
      <c r="AW3" s="272"/>
      <c r="AX3"/>
      <c r="AY3" s="271"/>
      <c r="AZ3" s="279"/>
      <c r="BA3" s="279"/>
      <c r="BB3" s="279"/>
      <c r="BC3" s="279"/>
      <c r="BD3" s="279"/>
      <c r="BE3" s="11"/>
      <c r="BF3" s="274"/>
      <c r="BG3" s="274"/>
      <c r="BH3" s="274"/>
      <c r="BI3" s="274"/>
      <c r="BJ3" s="274"/>
      <c r="BK3" s="274"/>
      <c r="BL3" s="274"/>
      <c r="BM3" s="274"/>
      <c r="BN3" s="274"/>
      <c r="BO3" s="274"/>
      <c r="BP3" s="274"/>
      <c r="BQ3" s="274"/>
      <c r="BR3" s="274"/>
      <c r="BS3" s="274"/>
      <c r="BT3" s="274"/>
      <c r="BU3" s="274"/>
      <c r="BV3" s="274"/>
      <c r="BW3" s="274"/>
      <c r="BX3" s="274"/>
      <c r="BY3" s="274"/>
      <c r="BZ3" s="274"/>
      <c r="CA3" s="275"/>
      <c r="CB3" s="276"/>
      <c r="CC3" s="277"/>
    </row>
    <row r="4" s="27" customFormat="1" customHeight="1" spans="1:81 16210:16315">
      <c r="B4" s="29"/>
      <c r="C4" s="30"/>
      <c r="E4" s="29"/>
      <c r="F4" s="29"/>
      <c r="G4" s="29"/>
      <c r="H4" s="29"/>
      <c r="I4" s="29"/>
      <c r="J4" s="261"/>
      <c r="K4" s="29"/>
      <c r="L4" s="30"/>
      <c r="M4" s="30"/>
      <c r="N4" s="30"/>
      <c r="O4" s="30"/>
      <c r="P4" s="30"/>
      <c r="Q4" s="30"/>
      <c r="R4" s="30"/>
      <c r="S4" s="30"/>
      <c r="T4" s="29"/>
      <c r="U4" s="271"/>
      <c r="V4" s="271"/>
      <c r="W4" s="272"/>
      <c r="X4" s="278"/>
      <c r="Y4" s="278"/>
      <c r="Z4" s="278"/>
      <c r="AA4" s="278"/>
      <c r="AB4" s="278"/>
      <c r="AC4" s="278"/>
      <c r="AD4" s="278"/>
      <c r="AE4" s="278"/>
      <c r="AF4" s="278"/>
      <c r="AG4" s="278"/>
      <c r="AH4" s="278"/>
      <c r="AI4" s="278"/>
      <c r="AJ4" s="278"/>
      <c r="AK4" s="278"/>
      <c r="AL4" s="278"/>
      <c r="AM4" s="278"/>
      <c r="AN4" s="278"/>
      <c r="AO4" s="278"/>
      <c r="AP4" s="278"/>
      <c r="AQ4" s="278"/>
      <c r="AR4" s="278"/>
      <c r="AS4" s="278"/>
      <c r="AT4" s="278"/>
      <c r="AU4" s="278"/>
      <c r="AV4" s="278"/>
      <c r="AW4" s="272"/>
      <c r="AX4"/>
      <c r="AY4" s="271"/>
      <c r="AZ4" s="279"/>
      <c r="BA4" s="279"/>
      <c r="BB4" s="279"/>
      <c r="BC4" s="279"/>
      <c r="BD4" s="279"/>
      <c r="BE4" s="11"/>
      <c r="BF4" s="274"/>
      <c r="BG4" s="274"/>
      <c r="BH4" s="274"/>
      <c r="BI4" s="274"/>
      <c r="BJ4" s="274"/>
      <c r="BK4" s="274"/>
      <c r="BL4" s="274"/>
      <c r="BM4" s="274"/>
      <c r="BN4" s="274"/>
      <c r="BO4" s="274"/>
      <c r="BP4" s="274"/>
      <c r="BQ4" s="274"/>
      <c r="BR4" s="274"/>
      <c r="BS4" s="274"/>
      <c r="BT4" s="274"/>
      <c r="BU4" s="274"/>
      <c r="BV4" s="274"/>
      <c r="BW4" s="274"/>
      <c r="BX4" s="274"/>
      <c r="BY4" s="274"/>
      <c r="BZ4" s="274"/>
      <c r="CA4" s="275"/>
      <c r="CB4" s="276"/>
      <c r="CC4" s="277"/>
    </row>
    <row r="5" s="27" customFormat="1" customHeight="1" spans="1:81 16210:16315">
      <c r="B5" s="29"/>
      <c r="C5" s="30"/>
      <c r="E5" s="280">
        <v>1</v>
      </c>
      <c r="F5" s="281" t="s">
        <v>9</v>
      </c>
      <c r="G5" s="282"/>
      <c r="H5" s="282"/>
      <c r="I5" s="283"/>
      <c r="J5" s="261"/>
      <c r="K5" s="29"/>
      <c r="L5" s="30"/>
      <c r="M5" s="30"/>
      <c r="N5" s="30"/>
      <c r="O5" s="30"/>
      <c r="P5" s="30"/>
      <c r="Q5" s="30"/>
      <c r="R5" s="30"/>
      <c r="S5" s="30"/>
      <c r="T5" s="29"/>
      <c r="U5" s="271"/>
      <c r="V5" s="271"/>
      <c r="W5" s="272"/>
      <c r="X5" s="278"/>
      <c r="Y5" s="278"/>
      <c r="Z5" s="278"/>
      <c r="AA5" s="278"/>
      <c r="AB5" s="278"/>
      <c r="AC5" s="278"/>
      <c r="AD5" s="278"/>
      <c r="AE5" s="278"/>
      <c r="AF5" s="278"/>
      <c r="AG5" s="278"/>
      <c r="AH5" s="278"/>
      <c r="AI5" s="278"/>
      <c r="AJ5" s="278"/>
      <c r="AK5" s="278"/>
      <c r="AL5" s="278"/>
      <c r="AM5" s="278"/>
      <c r="AN5" s="278"/>
      <c r="AO5" s="278"/>
      <c r="AP5" s="278"/>
      <c r="AQ5" s="278"/>
      <c r="AR5" s="278"/>
      <c r="AS5" s="278"/>
      <c r="AT5" s="278"/>
      <c r="AU5" s="278"/>
      <c r="AV5" s="278"/>
      <c r="AW5" s="272"/>
      <c r="AX5"/>
      <c r="AY5" s="271"/>
      <c r="AZ5" s="279"/>
      <c r="BA5" s="279"/>
      <c r="BB5" s="279"/>
      <c r="BC5" s="279"/>
      <c r="BD5" s="279"/>
      <c r="BE5" s="11"/>
      <c r="BF5" s="274"/>
      <c r="BG5" s="274"/>
      <c r="BH5" s="274"/>
      <c r="BI5" s="274"/>
      <c r="BJ5" s="274"/>
      <c r="BK5" s="274"/>
      <c r="BL5" s="274"/>
      <c r="BM5" s="274"/>
      <c r="BN5" s="274"/>
      <c r="BO5" s="274"/>
      <c r="BP5" s="274"/>
      <c r="BQ5" s="274"/>
      <c r="BR5" s="274"/>
      <c r="BS5" s="274"/>
      <c r="BT5" s="274"/>
      <c r="BU5" s="274"/>
      <c r="BV5" s="274"/>
      <c r="BW5" s="274"/>
      <c r="BX5" s="274"/>
      <c r="BY5" s="274"/>
      <c r="BZ5" s="274"/>
      <c r="CA5" s="275"/>
      <c r="CB5" s="276"/>
      <c r="CC5" s="277"/>
    </row>
    <row r="6" s="27" customFormat="1" customHeight="1" spans="1:81 16210:16315">
      <c r="B6" s="29"/>
      <c r="C6" s="30"/>
      <c r="E6" s="284">
        <v>2.1</v>
      </c>
      <c r="F6" s="285" t="s">
        <v>10</v>
      </c>
      <c r="G6" s="283"/>
      <c r="H6" s="283"/>
      <c r="I6" s="283"/>
      <c r="J6" s="261"/>
      <c r="K6" s="29"/>
      <c r="L6" s="30"/>
      <c r="M6" s="30"/>
      <c r="N6" s="30"/>
      <c r="O6" s="30"/>
      <c r="P6" s="30"/>
      <c r="Q6" s="30"/>
      <c r="R6" s="30"/>
      <c r="S6" s="30"/>
      <c r="T6" s="29"/>
      <c r="U6" s="286" t="s">
        <v>11</v>
      </c>
      <c r="V6" s="286"/>
      <c r="W6" s="272"/>
      <c r="X6" s="272"/>
      <c r="Y6" s="272"/>
      <c r="Z6" s="272"/>
      <c r="AA6" s="272"/>
      <c r="AB6" s="272"/>
      <c r="AC6" s="272"/>
      <c r="AD6" s="272"/>
      <c r="AE6" s="272"/>
      <c r="AF6" s="272"/>
      <c r="AG6" s="272"/>
      <c r="AH6" s="272"/>
      <c r="AI6" s="272"/>
      <c r="AJ6" s="272"/>
      <c r="AK6" s="272"/>
      <c r="AL6" s="272"/>
      <c r="AM6" s="272"/>
      <c r="AN6" s="272"/>
      <c r="AO6" s="272"/>
      <c r="AP6" s="272"/>
      <c r="AQ6" s="272"/>
      <c r="AR6" s="272"/>
      <c r="AS6" s="272"/>
      <c r="AT6" s="272"/>
      <c r="AU6" s="272"/>
      <c r="AV6" s="272"/>
      <c r="AW6" s="272"/>
      <c r="AX6"/>
      <c r="AY6" s="271"/>
      <c r="AZ6" s="279"/>
      <c r="BA6" s="279"/>
      <c r="BB6" s="279"/>
      <c r="BC6" s="279"/>
      <c r="BD6" s="279"/>
      <c r="BE6" s="11"/>
      <c r="BF6" s="274"/>
      <c r="BG6" s="274"/>
      <c r="BH6" s="274"/>
      <c r="BI6" s="274"/>
      <c r="BJ6" s="274"/>
      <c r="BK6" s="274"/>
      <c r="BL6" s="274"/>
      <c r="BM6" s="274"/>
      <c r="BN6" s="274"/>
      <c r="BO6" s="274"/>
      <c r="BP6" s="274"/>
      <c r="BQ6" s="274"/>
      <c r="BR6" s="274"/>
      <c r="BS6" s="274"/>
      <c r="BT6" s="274"/>
      <c r="BU6" s="274"/>
      <c r="BV6" s="274"/>
      <c r="BW6" s="274"/>
      <c r="BX6" s="274"/>
      <c r="BY6" s="274"/>
      <c r="BZ6" s="274"/>
      <c r="CA6" s="275"/>
      <c r="CB6" s="276"/>
      <c r="CC6" s="277"/>
    </row>
    <row r="7" s="27" customFormat="1" customHeight="1" spans="1:81 16210:16315">
      <c r="B7" s="29"/>
      <c r="C7" s="30"/>
      <c r="E7" s="284">
        <v>2.2</v>
      </c>
      <c r="F7" s="287" t="s">
        <v>12</v>
      </c>
      <c r="G7" s="288"/>
      <c r="H7" s="288"/>
      <c r="I7" s="288"/>
      <c r="J7" s="261"/>
      <c r="K7" s="29"/>
      <c r="L7" s="30"/>
      <c r="M7" s="30"/>
      <c r="N7" s="30"/>
      <c r="O7" s="30"/>
      <c r="P7" s="30"/>
      <c r="Q7" s="30"/>
      <c r="R7" s="30"/>
      <c r="S7" s="30"/>
      <c r="T7" s="29"/>
      <c r="U7" s="286"/>
      <c r="V7" s="286"/>
      <c r="W7" s="289" t="s">
        <v>13</v>
      </c>
      <c r="X7" s="290">
        <v>1</v>
      </c>
      <c r="Y7" s="291" t="s">
        <v>14</v>
      </c>
      <c r="Z7" s="291"/>
      <c r="AA7" s="291"/>
      <c r="AB7" s="291"/>
      <c r="AC7" s="291"/>
      <c r="AD7" s="291"/>
      <c r="AE7" s="291"/>
      <c r="AF7" s="291"/>
      <c r="AG7" s="291"/>
      <c r="AH7" s="291"/>
      <c r="AI7" s="291"/>
      <c r="AJ7" s="291"/>
      <c r="AK7" s="291"/>
      <c r="AL7" s="291"/>
      <c r="AM7" s="291"/>
      <c r="AN7" s="291"/>
      <c r="AO7" s="291"/>
      <c r="AP7" s="291"/>
      <c r="AQ7" s="291"/>
      <c r="AR7" s="291"/>
      <c r="AS7" s="291"/>
      <c r="AT7" s="291"/>
      <c r="AU7" s="291"/>
      <c r="AV7" s="291"/>
      <c r="AW7" s="291"/>
      <c r="AX7"/>
      <c r="AY7" s="271"/>
      <c r="AZ7" s="279"/>
      <c r="BA7" s="279"/>
      <c r="BB7" s="279"/>
      <c r="BC7" s="279"/>
      <c r="BD7" s="279"/>
      <c r="BE7" s="11"/>
      <c r="BF7" s="274"/>
      <c r="BG7" s="274"/>
      <c r="BH7" s="274"/>
      <c r="BI7" s="274"/>
      <c r="BJ7" s="274"/>
      <c r="BK7" s="274"/>
      <c r="BL7" s="274"/>
      <c r="BM7" s="274"/>
      <c r="BN7" s="274"/>
      <c r="BO7" s="274"/>
      <c r="BP7" s="274"/>
      <c r="BQ7" s="274"/>
      <c r="BR7" s="274"/>
      <c r="BS7" s="274"/>
      <c r="BT7" s="274"/>
      <c r="BU7" s="274"/>
      <c r="BV7" s="274"/>
      <c r="BW7" s="274"/>
      <c r="BX7" s="274"/>
      <c r="BY7" s="274"/>
      <c r="BZ7" s="274"/>
      <c r="CA7" s="275"/>
      <c r="CB7" s="276"/>
      <c r="CC7" s="277"/>
    </row>
    <row r="8" s="27" customFormat="1" customHeight="1" spans="1:81 16210:16315">
      <c r="B8" s="31" t="s">
        <v>15</v>
      </c>
      <c r="E8" s="292">
        <v>2.3</v>
      </c>
      <c r="F8" s="293" t="s">
        <v>16</v>
      </c>
      <c r="G8" s="294" t="s">
        <v>17</v>
      </c>
      <c r="H8" s="293" t="s">
        <v>18</v>
      </c>
      <c r="I8" s="295"/>
      <c r="J8" s="261"/>
      <c r="K8" s="29"/>
      <c r="L8" s="30"/>
      <c r="M8" s="30"/>
      <c r="N8" s="30"/>
      <c r="O8" s="30"/>
      <c r="P8" s="30"/>
      <c r="Q8" s="30"/>
      <c r="R8" s="30"/>
      <c r="S8" s="30"/>
      <c r="T8" s="29"/>
      <c r="U8" s="286"/>
      <c r="V8" s="286"/>
      <c r="W8" s="296"/>
      <c r="X8" s="297">
        <v>2</v>
      </c>
      <c r="Y8" s="298" t="s">
        <v>19</v>
      </c>
      <c r="Z8" s="298"/>
      <c r="AA8" s="298"/>
      <c r="AB8" s="298"/>
      <c r="AC8" s="298"/>
      <c r="AD8" s="298"/>
      <c r="AE8" s="298"/>
      <c r="AF8" s="298"/>
      <c r="AG8" s="298"/>
      <c r="AH8" s="298"/>
      <c r="AI8" s="298"/>
      <c r="AJ8" s="298"/>
      <c r="AK8" s="298"/>
      <c r="AL8" s="298"/>
      <c r="AM8" s="298"/>
      <c r="AN8" s="298"/>
      <c r="AO8" s="298"/>
      <c r="AP8" s="298"/>
      <c r="AQ8" s="298"/>
      <c r="AR8" s="298"/>
      <c r="AS8" s="298"/>
      <c r="AT8" s="298"/>
      <c r="AU8" s="298"/>
      <c r="AV8" s="298"/>
      <c r="AW8" s="298"/>
      <c r="AX8"/>
      <c r="AY8" s="271"/>
      <c r="AZ8" s="271"/>
      <c r="BA8" s="271"/>
      <c r="BB8" s="271"/>
      <c r="BC8" s="271"/>
      <c r="BD8" s="271"/>
      <c r="BE8" s="11"/>
      <c r="BF8" s="274"/>
      <c r="BG8" s="274"/>
      <c r="BH8" s="274"/>
      <c r="BI8" s="274"/>
      <c r="BJ8" s="274"/>
      <c r="BK8" s="274"/>
      <c r="BL8" s="274"/>
      <c r="BM8" s="274"/>
      <c r="BN8" s="274"/>
      <c r="BO8" s="274"/>
      <c r="BP8" s="274"/>
      <c r="BQ8" s="274"/>
      <c r="BR8" s="274"/>
      <c r="BS8" s="274"/>
      <c r="BT8" s="274"/>
      <c r="BU8" s="274"/>
      <c r="BV8" s="274"/>
      <c r="BW8" s="274"/>
      <c r="BX8" s="274"/>
      <c r="BY8" s="274"/>
      <c r="BZ8" s="274"/>
      <c r="CA8" s="275"/>
      <c r="CB8" s="276"/>
      <c r="CC8" s="277"/>
    </row>
    <row r="9" s="27" customFormat="1" customHeight="1" spans="1:81 16210:16315">
      <c r="E9" s="292"/>
      <c r="F9" s="299" t="s">
        <v>20</v>
      </c>
      <c r="G9" s="295" t="s">
        <v>21</v>
      </c>
      <c r="H9" s="293" t="s">
        <v>22</v>
      </c>
      <c r="I9" s="295"/>
      <c r="J9" s="261"/>
      <c r="K9" s="29"/>
      <c r="L9" s="30"/>
      <c r="M9" s="30"/>
      <c r="N9" s="30"/>
      <c r="O9" s="30"/>
      <c r="P9" s="30"/>
      <c r="Q9" s="30"/>
      <c r="R9" s="30"/>
      <c r="S9" s="30"/>
      <c r="T9" s="29"/>
      <c r="U9" s="300" t="s">
        <v>23</v>
      </c>
      <c r="V9" s="300"/>
      <c r="W9" s="296"/>
      <c r="X9" s="297">
        <v>3</v>
      </c>
      <c r="Y9" s="298" t="s">
        <v>24</v>
      </c>
      <c r="Z9" s="298"/>
      <c r="AA9" s="298"/>
      <c r="AB9" s="298"/>
      <c r="AC9" s="298"/>
      <c r="AD9" s="298"/>
      <c r="AE9" s="298"/>
      <c r="AF9" s="298"/>
      <c r="AG9" s="298"/>
      <c r="AH9" s="298"/>
      <c r="AI9" s="298"/>
      <c r="AJ9" s="298"/>
      <c r="AK9" s="298"/>
      <c r="AL9" s="298"/>
      <c r="AM9" s="298"/>
      <c r="AN9" s="298"/>
      <c r="AO9" s="298"/>
      <c r="AP9" s="298"/>
      <c r="AQ9" s="298"/>
      <c r="AR9" s="298"/>
      <c r="AS9" s="298"/>
      <c r="AT9" s="298"/>
      <c r="AU9" s="298"/>
      <c r="AV9" s="298"/>
      <c r="AW9" s="298"/>
      <c r="AX9"/>
      <c r="AY9" s="301" t="s">
        <v>25</v>
      </c>
      <c r="AZ9" s="301"/>
      <c r="BA9" s="301"/>
      <c r="BB9" s="301"/>
      <c r="BC9" s="301"/>
      <c r="BD9" s="301"/>
      <c r="BE9" s="11"/>
      <c r="BF9" s="274"/>
      <c r="BG9" s="274"/>
      <c r="BH9" s="274"/>
      <c r="BI9" s="274"/>
      <c r="BJ9" s="274"/>
      <c r="BK9" s="274"/>
      <c r="BL9" s="274"/>
      <c r="BM9" s="274"/>
      <c r="BN9" s="274"/>
      <c r="BO9" s="274"/>
      <c r="BP9" s="274"/>
      <c r="BQ9" s="274"/>
      <c r="BR9" s="274"/>
      <c r="BS9" s="274"/>
      <c r="BT9" s="274"/>
      <c r="BU9" s="274"/>
      <c r="BV9" s="274"/>
      <c r="BW9" s="274"/>
      <c r="BX9" s="274"/>
      <c r="BY9" s="274"/>
      <c r="BZ9" s="274"/>
      <c r="CA9" s="275"/>
      <c r="CB9" s="276"/>
      <c r="CC9" s="277"/>
    </row>
    <row r="10" s="27" customFormat="1" customHeight="1" spans="1:81 16210:16315">
      <c r="E10" s="292"/>
      <c r="F10" s="293"/>
      <c r="G10" s="302" t="s">
        <v>26</v>
      </c>
      <c r="H10" s="303" t="s">
        <v>27</v>
      </c>
      <c r="I10" s="295"/>
      <c r="J10" s="261"/>
      <c r="K10" s="29"/>
      <c r="L10" s="30"/>
      <c r="M10" s="30"/>
      <c r="N10" s="30"/>
      <c r="O10" s="30"/>
      <c r="P10" s="30"/>
      <c r="Q10" s="30"/>
      <c r="R10" s="30"/>
      <c r="S10" s="30"/>
      <c r="T10" s="29"/>
      <c r="U10" s="300"/>
      <c r="V10" s="300"/>
      <c r="W10" s="296"/>
      <c r="X10" s="304">
        <v>4</v>
      </c>
      <c r="Y10" s="4" t="s">
        <v>28</v>
      </c>
      <c r="Z10" s="4"/>
      <c r="AA10" s="4"/>
      <c r="AB10" s="4"/>
      <c r="AC10" s="4"/>
      <c r="AD10" s="4"/>
      <c r="AE10" s="4"/>
      <c r="AF10" s="4"/>
      <c r="AG10" s="4"/>
      <c r="AH10" s="4"/>
      <c r="AI10" s="4"/>
      <c r="AJ10" s="4"/>
      <c r="AK10" s="4"/>
      <c r="AL10" s="4"/>
      <c r="AM10" s="4"/>
      <c r="AN10" s="4"/>
      <c r="AO10" s="4"/>
      <c r="AP10" s="4"/>
      <c r="AQ10" s="4"/>
      <c r="AR10" s="4"/>
      <c r="AS10" s="4"/>
      <c r="AT10" s="4"/>
      <c r="AU10" s="4"/>
      <c r="AV10" s="4"/>
      <c r="AW10" s="4"/>
      <c r="AX10"/>
      <c r="AY10" s="4"/>
      <c r="AZ10" s="4"/>
      <c r="BA10" s="4"/>
      <c r="BB10" s="4"/>
      <c r="BC10" s="4"/>
      <c r="BD10" s="4"/>
      <c r="BE10" s="11"/>
      <c r="BF10" s="274"/>
      <c r="BG10" s="274"/>
      <c r="BH10" s="274"/>
      <c r="BI10" s="274"/>
      <c r="BJ10" s="274"/>
      <c r="BK10" s="274"/>
      <c r="BL10" s="274"/>
      <c r="BM10" s="274"/>
      <c r="BN10" s="274"/>
      <c r="BO10" s="274"/>
      <c r="BP10" s="274"/>
      <c r="BQ10" s="274"/>
      <c r="BR10" s="274"/>
      <c r="BS10" s="274"/>
      <c r="BT10" s="274"/>
      <c r="BU10" s="274"/>
      <c r="BV10" s="274"/>
      <c r="BW10" s="274"/>
      <c r="BX10" s="274"/>
      <c r="BY10" s="274"/>
      <c r="BZ10" s="274"/>
      <c r="CA10" s="275"/>
      <c r="CB10" s="276"/>
      <c r="CC10" s="277"/>
    </row>
    <row r="11" s="27" customFormat="1" customHeight="1" spans="1:81 16210:16315">
      <c r="E11" s="292"/>
      <c r="F11" s="293"/>
      <c r="G11" s="295" t="s">
        <v>29</v>
      </c>
      <c r="H11" s="293" t="s">
        <v>30</v>
      </c>
      <c r="I11" s="305"/>
      <c r="J11" s="261"/>
      <c r="K11" s="29"/>
      <c r="L11" s="30"/>
      <c r="M11" s="30"/>
      <c r="N11" s="30"/>
      <c r="O11" s="30"/>
      <c r="P11" s="30"/>
      <c r="Q11" s="30"/>
      <c r="R11" s="30"/>
      <c r="S11" s="30"/>
      <c r="T11" s="29"/>
      <c r="U11" s="300"/>
      <c r="V11" s="300"/>
      <c r="W11" s="306"/>
      <c r="X11" s="307"/>
      <c r="Y11" s="308" t="s">
        <v>31</v>
      </c>
      <c r="Z11" s="308"/>
      <c r="AA11" s="308"/>
      <c r="AB11" s="308"/>
      <c r="AC11" s="308"/>
      <c r="AD11" s="308"/>
      <c r="AE11" s="308"/>
      <c r="AF11" s="308"/>
      <c r="AG11" s="308"/>
      <c r="AH11" s="308"/>
      <c r="AI11" s="308"/>
      <c r="AJ11" s="308"/>
      <c r="AK11" s="308"/>
      <c r="AL11" s="308"/>
      <c r="AM11" s="308"/>
      <c r="AN11" s="308"/>
      <c r="AO11" s="308"/>
      <c r="AP11" s="308"/>
      <c r="AQ11" s="308"/>
      <c r="AR11" s="308"/>
      <c r="AS11" s="308"/>
      <c r="AT11" s="308"/>
      <c r="AU11" s="308"/>
      <c r="AV11" s="308"/>
      <c r="AW11" s="308"/>
      <c r="AX11"/>
      <c r="AY11" s="4"/>
      <c r="AZ11" s="4"/>
      <c r="BA11" s="4"/>
      <c r="BB11" s="4"/>
      <c r="BC11" s="4"/>
      <c r="BD11" s="4"/>
      <c r="BE11" s="11"/>
      <c r="BF11" s="309"/>
      <c r="BG11" s="309"/>
      <c r="BH11" s="309"/>
      <c r="BI11" s="309"/>
      <c r="BJ11" s="309"/>
      <c r="BK11" s="309"/>
      <c r="BL11" s="309"/>
      <c r="BM11" s="309"/>
      <c r="BN11" s="309"/>
      <c r="BO11" s="309"/>
      <c r="BP11" s="309"/>
      <c r="BQ11" s="309"/>
      <c r="BR11" s="309"/>
      <c r="BS11" s="309"/>
      <c r="BT11" s="309"/>
      <c r="BU11" s="309"/>
      <c r="BV11" s="309"/>
      <c r="BW11" s="309"/>
      <c r="BX11" s="309"/>
      <c r="BY11" s="309"/>
      <c r="BZ11" s="310"/>
      <c r="CA11" s="275"/>
      <c r="CB11" s="276"/>
      <c r="CC11" s="277"/>
    </row>
    <row r="12" s="27" customFormat="1" customHeight="1" spans="1:81 16210:16315">
      <c r="E12" s="292"/>
      <c r="F12" s="311" t="s">
        <v>32</v>
      </c>
      <c r="G12" s="312" t="s">
        <v>33</v>
      </c>
      <c r="H12" s="311" t="s">
        <v>34</v>
      </c>
      <c r="I12" s="305"/>
      <c r="J12" s="261"/>
      <c r="K12" s="29"/>
      <c r="L12" s="30"/>
      <c r="M12" s="30"/>
      <c r="N12" s="30"/>
      <c r="O12" s="30"/>
      <c r="P12" s="30"/>
      <c r="Q12" s="30"/>
      <c r="R12" s="30"/>
      <c r="S12" s="30"/>
      <c r="T12" s="29"/>
      <c r="U12" s="300"/>
      <c r="V12" s="300"/>
      <c r="W12" s="296" t="s">
        <v>35</v>
      </c>
      <c r="X12" s="297">
        <v>5</v>
      </c>
      <c r="Y12" s="298" t="s">
        <v>36</v>
      </c>
      <c r="Z12" s="298"/>
      <c r="AA12" s="298"/>
      <c r="AB12" s="298"/>
      <c r="AC12" s="298"/>
      <c r="AD12" s="298"/>
      <c r="AE12" s="298"/>
      <c r="AF12" s="298"/>
      <c r="AG12" s="298"/>
      <c r="AH12" s="298"/>
      <c r="AI12" s="298"/>
      <c r="AJ12" s="298"/>
      <c r="AK12" s="298"/>
      <c r="AL12" s="298"/>
      <c r="AM12" s="298"/>
      <c r="AN12" s="298"/>
      <c r="AO12" s="298"/>
      <c r="AP12" s="298"/>
      <c r="AQ12" s="298"/>
      <c r="AR12" s="298"/>
      <c r="AS12" s="298"/>
      <c r="AT12" s="298"/>
      <c r="AU12" s="298"/>
      <c r="AV12" s="298"/>
      <c r="AW12" s="298"/>
      <c r="AX12"/>
      <c r="AY12" s="4"/>
      <c r="AZ12" s="4"/>
      <c r="BA12" s="4"/>
      <c r="BB12" s="4"/>
      <c r="BC12" s="4"/>
      <c r="BD12" s="4"/>
      <c r="BE12" s="11"/>
      <c r="BF12" s="313" t="s">
        <v>37</v>
      </c>
      <c r="BG12" s="313"/>
      <c r="BH12" s="313"/>
      <c r="BI12" s="313"/>
      <c r="BJ12" s="313"/>
      <c r="BK12" s="313"/>
      <c r="BL12" s="313"/>
      <c r="BM12" s="313"/>
      <c r="BN12" s="313"/>
      <c r="BO12" s="313"/>
      <c r="BP12" s="313"/>
      <c r="BQ12" s="313"/>
      <c r="BR12" s="313"/>
      <c r="BS12" s="313"/>
      <c r="BT12" s="313"/>
      <c r="BU12" s="313"/>
      <c r="BV12" s="313"/>
      <c r="BW12" s="313"/>
      <c r="BX12" s="313"/>
      <c r="BY12" s="313"/>
      <c r="BZ12" s="314"/>
      <c r="CA12" s="275"/>
      <c r="CB12" s="276"/>
      <c r="CC12" s="277"/>
    </row>
    <row r="13" s="27" customFormat="1" customHeight="1" spans="1:81 16210:16315">
      <c r="E13" s="292">
        <v>2.4</v>
      </c>
      <c r="F13" s="315" t="s">
        <v>38</v>
      </c>
      <c r="G13" s="295"/>
      <c r="H13" s="293" t="s">
        <v>39</v>
      </c>
      <c r="I13" s="305"/>
      <c r="J13" s="261"/>
      <c r="K13" s="29"/>
      <c r="L13" s="30"/>
      <c r="M13" s="30"/>
      <c r="N13" s="30"/>
      <c r="O13" s="30"/>
      <c r="P13" s="30"/>
      <c r="Q13" s="30"/>
      <c r="R13" s="30"/>
      <c r="S13" s="30"/>
      <c r="T13" s="29"/>
      <c r="U13" s="300" t="s">
        <v>40</v>
      </c>
      <c r="V13" s="300"/>
      <c r="W13" s="296"/>
      <c r="X13" s="316">
        <v>6</v>
      </c>
      <c r="Y13" s="317" t="s">
        <v>41</v>
      </c>
      <c r="Z13" s="317"/>
      <c r="AA13" s="317"/>
      <c r="AB13" s="317"/>
      <c r="AC13" s="317"/>
      <c r="AD13" s="317"/>
      <c r="AE13" s="317"/>
      <c r="AF13" s="317"/>
      <c r="AG13" s="317"/>
      <c r="AH13" s="317"/>
      <c r="AI13" s="317"/>
      <c r="AJ13" s="317"/>
      <c r="AK13" s="317"/>
      <c r="AL13" s="317"/>
      <c r="AM13" s="317"/>
      <c r="AN13" s="317"/>
      <c r="AO13" s="317"/>
      <c r="AP13" s="317"/>
      <c r="AQ13" s="317"/>
      <c r="AR13" s="317"/>
      <c r="AS13" s="317"/>
      <c r="AT13" s="317"/>
      <c r="AU13" s="317"/>
      <c r="AV13" s="317"/>
      <c r="AW13" s="317"/>
      <c r="AX13"/>
      <c r="AY13" s="4"/>
      <c r="AZ13" s="4"/>
      <c r="BA13" s="4"/>
      <c r="BB13" s="4"/>
      <c r="BC13" s="4"/>
      <c r="BD13" s="4"/>
      <c r="BE13" s="11"/>
      <c r="BF13" s="313"/>
      <c r="BG13" s="318"/>
      <c r="BH13" s="318"/>
      <c r="BI13" s="318"/>
      <c r="BJ13" s="318"/>
      <c r="BK13" s="318"/>
      <c r="BL13" s="318"/>
      <c r="BM13" s="318"/>
      <c r="BN13" s="318"/>
      <c r="BO13" s="318"/>
      <c r="BP13" s="318"/>
      <c r="BQ13" s="318"/>
      <c r="BR13" s="318"/>
      <c r="BS13" s="318"/>
      <c r="BT13" s="318"/>
      <c r="BU13" s="318"/>
      <c r="BV13" s="318"/>
      <c r="BW13" s="318"/>
      <c r="BX13" s="318"/>
      <c r="BY13" s="318"/>
      <c r="BZ13" s="314"/>
      <c r="CA13" s="275"/>
      <c r="CB13" s="276"/>
      <c r="CC13" s="277"/>
    </row>
    <row r="14" s="27" customFormat="1" customHeight="1" spans="1:81 16210:16315">
      <c r="E14" s="292">
        <v>2.5</v>
      </c>
      <c r="F14" s="319" t="s">
        <v>42</v>
      </c>
      <c r="G14" s="305"/>
      <c r="H14" s="305"/>
      <c r="I14" s="305"/>
      <c r="J14" s="261"/>
      <c r="K14" s="29"/>
      <c r="L14" s="30"/>
      <c r="M14" s="30"/>
      <c r="N14" s="30"/>
      <c r="O14" s="30"/>
      <c r="P14" s="30"/>
      <c r="Q14" s="30"/>
      <c r="R14" s="30"/>
      <c r="S14" s="30"/>
      <c r="T14" s="29"/>
      <c r="U14" s="300"/>
      <c r="V14" s="300"/>
      <c r="W14" s="296"/>
      <c r="X14" s="320"/>
      <c r="Y14" s="321" t="s">
        <v>43</v>
      </c>
      <c r="Z14" s="321"/>
      <c r="AA14" s="321"/>
      <c r="AB14" s="321"/>
      <c r="AC14" s="321"/>
      <c r="AD14" s="321"/>
      <c r="AE14" s="321"/>
      <c r="AF14" s="321"/>
      <c r="AG14" s="321"/>
      <c r="AH14" s="321"/>
      <c r="AI14" s="321"/>
      <c r="AJ14" s="321"/>
      <c r="AK14" s="321"/>
      <c r="AL14" s="321"/>
      <c r="AM14" s="321"/>
      <c r="AN14" s="321"/>
      <c r="AO14" s="321"/>
      <c r="AP14" s="321"/>
      <c r="AQ14" s="321"/>
      <c r="AR14" s="321"/>
      <c r="AS14" s="321"/>
      <c r="AT14" s="321"/>
      <c r="AU14" s="321"/>
      <c r="AV14" s="321"/>
      <c r="AW14" s="321"/>
      <c r="AX14"/>
      <c r="AY14" s="4"/>
      <c r="AZ14" s="4"/>
      <c r="BA14" s="4"/>
      <c r="BB14" s="4"/>
      <c r="BC14" s="4"/>
      <c r="BD14" s="4"/>
      <c r="BE14" s="11"/>
      <c r="BF14" s="313"/>
      <c r="BG14" s="318"/>
      <c r="BH14" s="318"/>
      <c r="BI14" s="318"/>
      <c r="BJ14" s="318"/>
      <c r="BK14" s="318"/>
      <c r="BL14" s="318"/>
      <c r="BM14" s="318"/>
      <c r="BN14" s="318"/>
      <c r="BO14" s="318"/>
      <c r="BP14" s="318"/>
      <c r="BQ14" s="318"/>
      <c r="BR14" s="318"/>
      <c r="BS14" s="318"/>
      <c r="BT14" s="318"/>
      <c r="BU14" s="318"/>
      <c r="BV14" s="318"/>
      <c r="BW14" s="318"/>
      <c r="BX14" s="318"/>
      <c r="BY14" s="318"/>
      <c r="BZ14" s="314"/>
      <c r="CA14" s="275"/>
      <c r="CB14" s="276"/>
      <c r="CC14" s="277"/>
    </row>
    <row r="15" s="27" customFormat="1" customHeight="1" spans="1:81 16210:16315">
      <c r="E15" s="280">
        <v>3.1</v>
      </c>
      <c r="F15" s="322" t="s">
        <v>44</v>
      </c>
      <c r="G15" s="323"/>
      <c r="H15" s="323"/>
      <c r="I15" s="305"/>
      <c r="J15" s="261"/>
      <c r="K15" s="29"/>
      <c r="L15" s="30"/>
      <c r="M15" s="30"/>
      <c r="N15" s="30"/>
      <c r="O15" s="30"/>
      <c r="P15" s="30"/>
      <c r="Q15" s="30"/>
      <c r="R15" s="30"/>
      <c r="S15" s="30"/>
      <c r="T15" s="29"/>
      <c r="U15" s="300"/>
      <c r="V15" s="300"/>
      <c r="W15" s="296"/>
      <c r="X15" s="324"/>
      <c r="Y15" s="325" t="s">
        <v>45</v>
      </c>
      <c r="Z15" s="325"/>
      <c r="AA15" s="325"/>
      <c r="AB15" s="325"/>
      <c r="AC15" s="325"/>
      <c r="AD15" s="325"/>
      <c r="AE15" s="325"/>
      <c r="AF15" s="325"/>
      <c r="AG15" s="325"/>
      <c r="AH15" s="325"/>
      <c r="AI15" s="325"/>
      <c r="AJ15" s="325"/>
      <c r="AK15" s="325"/>
      <c r="AL15" s="325"/>
      <c r="AM15" s="325"/>
      <c r="AN15" s="325"/>
      <c r="AO15" s="325"/>
      <c r="AP15" s="325"/>
      <c r="AQ15" s="325"/>
      <c r="AR15" s="325"/>
      <c r="AS15" s="325"/>
      <c r="AT15" s="325"/>
      <c r="AU15" s="325"/>
      <c r="AV15" s="325"/>
      <c r="AW15" s="325"/>
      <c r="AX15"/>
      <c r="AY15" s="4"/>
      <c r="AZ15" s="4"/>
      <c r="BA15" s="4"/>
      <c r="BB15" s="4"/>
      <c r="BC15" s="4"/>
      <c r="BD15" s="4"/>
      <c r="BE15" s="11"/>
      <c r="BF15" s="313"/>
      <c r="BG15" s="318"/>
      <c r="BH15" s="318"/>
      <c r="BI15" s="318"/>
      <c r="BJ15" s="318"/>
      <c r="BK15" s="318"/>
      <c r="BL15" s="318"/>
      <c r="BM15" s="318"/>
      <c r="BN15" s="318"/>
      <c r="BO15" s="318"/>
      <c r="BP15" s="318"/>
      <c r="BQ15" s="318"/>
      <c r="BR15" s="318"/>
      <c r="BS15" s="318"/>
      <c r="BT15" s="318"/>
      <c r="BU15" s="318"/>
      <c r="BV15" s="318"/>
      <c r="BW15" s="318"/>
      <c r="BX15" s="318"/>
      <c r="BY15" s="318"/>
      <c r="BZ15" s="314"/>
      <c r="CA15" s="275"/>
      <c r="CB15" s="276"/>
      <c r="CC15" s="277"/>
    </row>
    <row r="16" s="27" customFormat="1" customHeight="1" spans="1:81 16210:16315">
      <c r="E16" s="292"/>
      <c r="F16" s="326" t="s">
        <v>46</v>
      </c>
      <c r="G16" s="327"/>
      <c r="H16" s="327"/>
      <c r="I16" s="305"/>
      <c r="J16" s="261"/>
      <c r="K16" s="29"/>
      <c r="L16" s="30"/>
      <c r="M16" s="30"/>
      <c r="N16" s="30"/>
      <c r="O16" s="30"/>
      <c r="P16" s="30"/>
      <c r="Q16" s="30"/>
      <c r="R16" s="30"/>
      <c r="S16" s="30"/>
      <c r="T16" s="29"/>
      <c r="U16" s="300"/>
      <c r="V16" s="300"/>
      <c r="W16" s="296"/>
      <c r="X16" s="316">
        <v>7</v>
      </c>
      <c r="Y16" s="317" t="s">
        <v>47</v>
      </c>
      <c r="Z16" s="317"/>
      <c r="AA16" s="317"/>
      <c r="AB16" s="317"/>
      <c r="AC16" s="317"/>
      <c r="AD16" s="317"/>
      <c r="AE16" s="317"/>
      <c r="AF16" s="317"/>
      <c r="AG16" s="317"/>
      <c r="AH16" s="317"/>
      <c r="AI16" s="317"/>
      <c r="AJ16" s="317"/>
      <c r="AK16" s="317"/>
      <c r="AL16" s="317"/>
      <c r="AM16" s="317"/>
      <c r="AN16" s="317"/>
      <c r="AO16" s="317"/>
      <c r="AP16" s="317"/>
      <c r="AQ16" s="317"/>
      <c r="AR16" s="317"/>
      <c r="AS16" s="317"/>
      <c r="AT16" s="317"/>
      <c r="AU16" s="317"/>
      <c r="AV16" s="317"/>
      <c r="AW16" s="317"/>
      <c r="AX16"/>
      <c r="AY16" s="4"/>
      <c r="AZ16" s="4"/>
      <c r="BA16" s="4"/>
      <c r="BB16" s="4"/>
      <c r="BC16" s="4"/>
      <c r="BD16" s="4"/>
      <c r="BE16" s="11"/>
      <c r="BF16" s="313"/>
      <c r="BG16" s="318"/>
      <c r="BH16" s="318"/>
      <c r="BI16" s="318"/>
      <c r="BJ16" s="318"/>
      <c r="BK16" s="318"/>
      <c r="BL16" s="318"/>
      <c r="BM16" s="318"/>
      <c r="BN16" s="318"/>
      <c r="BO16" s="318"/>
      <c r="BP16" s="318"/>
      <c r="BQ16" s="318"/>
      <c r="BR16" s="318"/>
      <c r="BS16" s="318"/>
      <c r="BT16" s="318"/>
      <c r="BU16" s="318"/>
      <c r="BV16" s="318"/>
      <c r="BW16" s="318"/>
      <c r="BX16" s="318"/>
      <c r="BY16" s="318"/>
      <c r="BZ16" s="314"/>
      <c r="CA16" s="275"/>
      <c r="CB16" s="276"/>
      <c r="CC16" s="277"/>
    </row>
    <row r="17" s="27" customFormat="1" customHeight="1" spans="5:81">
      <c r="E17" s="292"/>
      <c r="F17" s="328" t="s">
        <v>48</v>
      </c>
      <c r="G17" s="305"/>
      <c r="H17" s="305"/>
      <c r="I17" s="305"/>
      <c r="J17" s="261"/>
      <c r="K17" s="29"/>
      <c r="L17" s="30"/>
      <c r="M17" s="30"/>
      <c r="N17" s="30"/>
      <c r="O17" s="30"/>
      <c r="P17" s="30"/>
      <c r="Q17" s="30"/>
      <c r="R17" s="30"/>
      <c r="S17" s="30"/>
      <c r="T17" s="29"/>
      <c r="U17" s="329" t="s">
        <v>49</v>
      </c>
      <c r="V17" s="31"/>
      <c r="W17" s="296"/>
      <c r="X17" s="320"/>
      <c r="Y17" s="321" t="s">
        <v>50</v>
      </c>
      <c r="Z17" s="321"/>
      <c r="AA17" s="321"/>
      <c r="AB17" s="321"/>
      <c r="AC17" s="321"/>
      <c r="AD17" s="321"/>
      <c r="AE17" s="321"/>
      <c r="AF17" s="321"/>
      <c r="AG17" s="321"/>
      <c r="AH17" s="321"/>
      <c r="AI17" s="321"/>
      <c r="AJ17" s="321"/>
      <c r="AK17" s="321"/>
      <c r="AL17" s="321"/>
      <c r="AM17" s="321"/>
      <c r="AN17" s="321"/>
      <c r="AO17" s="321"/>
      <c r="AP17" s="321"/>
      <c r="AQ17" s="321"/>
      <c r="AR17" s="321"/>
      <c r="AS17" s="321"/>
      <c r="AT17" s="321"/>
      <c r="AU17" s="321"/>
      <c r="AV17" s="321"/>
      <c r="AW17" s="321"/>
      <c r="AX17"/>
      <c r="AY17" s="4"/>
      <c r="AZ17" s="4"/>
      <c r="BA17" s="4"/>
      <c r="BB17" s="4"/>
      <c r="BC17" s="4"/>
      <c r="BD17" s="4"/>
      <c r="BE17" s="11"/>
      <c r="BF17" s="313"/>
      <c r="BG17" s="318"/>
      <c r="BH17" s="318"/>
      <c r="BI17" s="318"/>
      <c r="BJ17" s="318"/>
      <c r="BK17" s="318"/>
      <c r="BL17" s="318"/>
      <c r="BM17" s="318"/>
      <c r="BN17" s="318"/>
      <c r="BO17" s="318"/>
      <c r="BP17" s="318"/>
      <c r="BQ17" s="318"/>
      <c r="BR17" s="318"/>
      <c r="BS17" s="318"/>
      <c r="BT17" s="318"/>
      <c r="BU17" s="318"/>
      <c r="BV17" s="318"/>
      <c r="BW17" s="318"/>
      <c r="BX17" s="318"/>
      <c r="BY17" s="318"/>
      <c r="BZ17" s="314"/>
      <c r="CA17" s="275"/>
      <c r="CB17" s="276"/>
      <c r="CC17" s="277"/>
    </row>
    <row r="18" s="27" customFormat="1" customHeight="1" spans="5:81">
      <c r="E18" s="292">
        <v>3.2</v>
      </c>
      <c r="F18" s="328" t="s">
        <v>51</v>
      </c>
      <c r="G18" s="305"/>
      <c r="H18" s="305"/>
      <c r="I18" s="305"/>
      <c r="J18" s="261"/>
      <c r="K18" s="29"/>
      <c r="L18" s="30"/>
      <c r="M18" s="30"/>
      <c r="N18" s="30"/>
      <c r="O18" s="30"/>
      <c r="P18" s="30"/>
      <c r="Q18" s="30"/>
      <c r="R18" s="30"/>
      <c r="S18" s="30"/>
      <c r="T18" s="29"/>
      <c r="U18" s="31"/>
      <c r="V18" s="31"/>
      <c r="W18" s="296"/>
      <c r="X18" s="320"/>
      <c r="Y18" s="321" t="s">
        <v>52</v>
      </c>
      <c r="Z18" s="321"/>
      <c r="AA18" s="321"/>
      <c r="AB18" s="321"/>
      <c r="AC18" s="321"/>
      <c r="AD18" s="321"/>
      <c r="AE18" s="321"/>
      <c r="AF18" s="321"/>
      <c r="AG18" s="321"/>
      <c r="AH18" s="321"/>
      <c r="AI18" s="321"/>
      <c r="AJ18" s="321"/>
      <c r="AK18" s="321"/>
      <c r="AL18" s="321"/>
      <c r="AM18" s="321"/>
      <c r="AN18" s="321"/>
      <c r="AO18" s="321"/>
      <c r="AP18" s="321"/>
      <c r="AQ18" s="321"/>
      <c r="AR18" s="321"/>
      <c r="AS18" s="321"/>
      <c r="AT18" s="321"/>
      <c r="AU18" s="321"/>
      <c r="AV18" s="321"/>
      <c r="AW18" s="321"/>
      <c r="AX18"/>
      <c r="AY18" s="4"/>
      <c r="AZ18" s="4"/>
      <c r="BA18" s="4"/>
      <c r="BB18" s="4"/>
      <c r="BC18" s="4"/>
      <c r="BD18" s="4"/>
      <c r="BE18" s="11"/>
      <c r="BF18" s="313"/>
      <c r="BG18" s="318"/>
      <c r="BH18" s="318"/>
      <c r="BI18" s="318"/>
      <c r="BJ18" s="318"/>
      <c r="BK18" s="318"/>
      <c r="BL18" s="318"/>
      <c r="BM18" s="318"/>
      <c r="BN18" s="318"/>
      <c r="BO18" s="318"/>
      <c r="BP18" s="318"/>
      <c r="BQ18" s="318"/>
      <c r="BR18" s="318"/>
      <c r="BS18" s="318"/>
      <c r="BT18" s="318"/>
      <c r="BU18" s="318"/>
      <c r="BV18" s="318"/>
      <c r="BW18" s="318"/>
      <c r="BX18" s="318"/>
      <c r="BY18" s="318"/>
      <c r="BZ18" s="314"/>
      <c r="CA18" s="275"/>
      <c r="CB18" s="276"/>
      <c r="CC18" s="277"/>
    </row>
    <row r="19" s="27" customFormat="1" customHeight="1" spans="5:81">
      <c r="E19" s="292"/>
      <c r="F19" s="326" t="s">
        <v>53</v>
      </c>
      <c r="G19" s="327"/>
      <c r="H19" s="327"/>
      <c r="I19" s="305"/>
      <c r="J19" s="261"/>
      <c r="K19" s="29"/>
      <c r="L19" s="30"/>
      <c r="M19" s="30"/>
      <c r="N19" s="30"/>
      <c r="O19" s="30"/>
      <c r="P19" s="30"/>
      <c r="Q19" s="30"/>
      <c r="R19" s="30"/>
      <c r="S19" s="30"/>
      <c r="T19" s="29"/>
      <c r="U19" s="31"/>
      <c r="V19" s="31"/>
      <c r="W19" s="296"/>
      <c r="X19" s="320"/>
      <c r="Y19" s="321" t="s">
        <v>54</v>
      </c>
      <c r="Z19" s="321"/>
      <c r="AA19" s="321"/>
      <c r="AB19" s="321"/>
      <c r="AC19" s="321"/>
      <c r="AD19" s="321"/>
      <c r="AE19" s="321"/>
      <c r="AF19" s="321"/>
      <c r="AG19" s="321"/>
      <c r="AH19" s="321"/>
      <c r="AI19" s="321"/>
      <c r="AJ19" s="321"/>
      <c r="AK19" s="321"/>
      <c r="AL19" s="321"/>
      <c r="AM19" s="321"/>
      <c r="AN19" s="321"/>
      <c r="AO19" s="321"/>
      <c r="AP19" s="321"/>
      <c r="AQ19" s="321"/>
      <c r="AR19" s="321"/>
      <c r="AS19" s="321"/>
      <c r="AT19" s="321"/>
      <c r="AU19" s="321"/>
      <c r="AV19" s="321"/>
      <c r="AW19" s="321"/>
      <c r="AX19"/>
      <c r="AY19" s="4"/>
      <c r="AZ19" s="4"/>
      <c r="BA19" s="4"/>
      <c r="BB19" s="4"/>
      <c r="BC19" s="4"/>
      <c r="BD19" s="4"/>
      <c r="BE19" s="11"/>
      <c r="BF19" s="313"/>
      <c r="BG19" s="318"/>
      <c r="BH19" s="318"/>
      <c r="BI19" s="318"/>
      <c r="BJ19" s="318"/>
      <c r="BK19" s="318"/>
      <c r="BL19" s="318"/>
      <c r="BM19" s="318"/>
      <c r="BN19" s="318"/>
      <c r="BO19" s="318"/>
      <c r="BP19" s="318"/>
      <c r="BQ19" s="318"/>
      <c r="BR19" s="318"/>
      <c r="BS19" s="318"/>
      <c r="BT19" s="318"/>
      <c r="BU19" s="318"/>
      <c r="BV19" s="318"/>
      <c r="BW19" s="318"/>
      <c r="BX19" s="318"/>
      <c r="BY19" s="318"/>
      <c r="BZ19" s="314"/>
      <c r="CA19" s="275"/>
      <c r="CB19" s="276"/>
      <c r="CC19" s="277"/>
    </row>
    <row r="20" s="27" customFormat="1" customHeight="1" spans="5:81">
      <c r="E20" s="292"/>
      <c r="F20" s="326" t="s">
        <v>55</v>
      </c>
      <c r="G20" s="327"/>
      <c r="H20" s="327"/>
      <c r="I20" s="305"/>
      <c r="J20" s="261"/>
      <c r="K20" s="29"/>
      <c r="L20" s="30"/>
      <c r="M20" s="30"/>
      <c r="N20" s="30"/>
      <c r="O20" s="30"/>
      <c r="P20" s="30"/>
      <c r="Q20" s="30"/>
      <c r="R20" s="30"/>
      <c r="S20" s="30"/>
      <c r="T20" s="29"/>
      <c r="U20" s="31"/>
      <c r="V20" s="31"/>
      <c r="W20" s="296"/>
      <c r="X20" s="324"/>
      <c r="Y20" s="325" t="s">
        <v>56</v>
      </c>
      <c r="Z20" s="325"/>
      <c r="AA20" s="325"/>
      <c r="AB20" s="325"/>
      <c r="AC20" s="325"/>
      <c r="AD20" s="325"/>
      <c r="AE20" s="325"/>
      <c r="AF20" s="325"/>
      <c r="AG20" s="325"/>
      <c r="AH20" s="325"/>
      <c r="AI20" s="325"/>
      <c r="AJ20" s="325"/>
      <c r="AK20" s="325"/>
      <c r="AL20" s="325"/>
      <c r="AM20" s="325"/>
      <c r="AN20" s="325"/>
      <c r="AO20" s="325"/>
      <c r="AP20" s="325"/>
      <c r="AQ20" s="325"/>
      <c r="AR20" s="325"/>
      <c r="AS20" s="325"/>
      <c r="AT20" s="325"/>
      <c r="AU20" s="325"/>
      <c r="AV20" s="325"/>
      <c r="AW20" s="325"/>
      <c r="AX20"/>
      <c r="AY20" s="4"/>
      <c r="AZ20" s="4"/>
      <c r="BA20" s="4"/>
      <c r="BB20" s="4"/>
      <c r="BC20" s="4"/>
      <c r="BD20" s="4"/>
      <c r="BE20" s="11"/>
      <c r="BF20" s="313"/>
      <c r="BG20" s="318"/>
      <c r="BH20" s="318"/>
      <c r="BI20" s="318"/>
      <c r="BJ20" s="318"/>
      <c r="BK20" s="318"/>
      <c r="BL20" s="318"/>
      <c r="BM20" s="318"/>
      <c r="BN20" s="318"/>
      <c r="BO20" s="318"/>
      <c r="BP20" s="318"/>
      <c r="BQ20" s="318"/>
      <c r="BR20" s="318"/>
      <c r="BS20" s="318"/>
      <c r="BT20" s="318"/>
      <c r="BU20" s="318"/>
      <c r="BV20" s="318"/>
      <c r="BW20" s="318"/>
      <c r="BX20" s="318"/>
      <c r="BY20" s="318"/>
      <c r="BZ20" s="314"/>
      <c r="CA20" s="275"/>
      <c r="CB20" s="276"/>
      <c r="CC20" s="277"/>
    </row>
    <row r="21" s="27" customFormat="1" customHeight="1" spans="5:81">
      <c r="E21" s="292"/>
      <c r="F21" s="326" t="s">
        <v>57</v>
      </c>
      <c r="G21" s="327"/>
      <c r="H21" s="327"/>
      <c r="I21" s="305"/>
      <c r="J21" s="261"/>
      <c r="K21" s="29"/>
      <c r="L21" s="30"/>
      <c r="M21" s="30"/>
      <c r="N21" s="30"/>
      <c r="O21" s="30"/>
      <c r="P21" s="30"/>
      <c r="Q21" s="30"/>
      <c r="R21" s="30"/>
      <c r="S21" s="30"/>
      <c r="T21" s="29"/>
      <c r="U21" s="31"/>
      <c r="V21" s="31"/>
      <c r="W21" s="296"/>
      <c r="X21" s="304">
        <v>8</v>
      </c>
      <c r="Y21" s="298" t="s">
        <v>58</v>
      </c>
      <c r="Z21" s="298"/>
      <c r="AA21" s="298"/>
      <c r="AB21" s="298"/>
      <c r="AC21" s="298"/>
      <c r="AD21" s="298"/>
      <c r="AE21" s="298"/>
      <c r="AF21" s="298"/>
      <c r="AG21" s="298"/>
      <c r="AH21" s="298"/>
      <c r="AI21" s="298"/>
      <c r="AJ21" s="298"/>
      <c r="AK21" s="298"/>
      <c r="AL21" s="298"/>
      <c r="AM21" s="298"/>
      <c r="AN21" s="298"/>
      <c r="AO21" s="298"/>
      <c r="AP21" s="298"/>
      <c r="AQ21" s="298"/>
      <c r="AR21" s="298"/>
      <c r="AS21" s="298"/>
      <c r="AT21" s="298"/>
      <c r="AU21" s="298"/>
      <c r="AV21" s="298"/>
      <c r="AW21" s="298"/>
      <c r="AX21"/>
      <c r="AY21" s="4"/>
      <c r="AZ21" s="4"/>
      <c r="BA21" s="4"/>
      <c r="BB21" s="4"/>
      <c r="BC21" s="4"/>
      <c r="BD21" s="4"/>
      <c r="BE21" s="11"/>
      <c r="BF21" s="313"/>
      <c r="BG21" s="318"/>
      <c r="BH21" s="318"/>
      <c r="BI21" s="318"/>
      <c r="BJ21" s="318"/>
      <c r="BK21" s="318"/>
      <c r="BL21" s="318"/>
      <c r="BM21" s="318"/>
      <c r="BN21" s="318"/>
      <c r="BO21" s="318"/>
      <c r="BP21" s="318"/>
      <c r="BQ21" s="318"/>
      <c r="BR21" s="318"/>
      <c r="BS21" s="318"/>
      <c r="BT21" s="318"/>
      <c r="BU21" s="318"/>
      <c r="BV21" s="318"/>
      <c r="BW21" s="318"/>
      <c r="BX21" s="318"/>
      <c r="BY21" s="318"/>
      <c r="BZ21" s="314"/>
      <c r="CA21" s="275"/>
      <c r="CB21" s="276"/>
      <c r="CC21" s="277"/>
    </row>
    <row r="22" s="27" customFormat="1" customHeight="1" spans="5:81">
      <c r="E22" s="292"/>
      <c r="F22" s="326" t="s">
        <v>59</v>
      </c>
      <c r="G22" s="327"/>
      <c r="H22" s="327"/>
      <c r="I22" s="305"/>
      <c r="J22" s="261"/>
      <c r="K22" s="29"/>
      <c r="L22" s="30"/>
      <c r="M22" s="30"/>
      <c r="N22" s="30"/>
      <c r="O22" s="30"/>
      <c r="P22" s="30"/>
      <c r="Q22" s="30"/>
      <c r="R22" s="30"/>
      <c r="S22" s="30"/>
      <c r="T22" s="29"/>
      <c r="U22" s="31"/>
      <c r="V22" s="31"/>
      <c r="W22" s="296"/>
      <c r="X22" s="316">
        <v>9</v>
      </c>
      <c r="Y22" s="317" t="s">
        <v>60</v>
      </c>
      <c r="Z22" s="317"/>
      <c r="AA22" s="317"/>
      <c r="AB22" s="317"/>
      <c r="AC22" s="317"/>
      <c r="AD22" s="317"/>
      <c r="AE22" s="317"/>
      <c r="AF22" s="317"/>
      <c r="AG22" s="317"/>
      <c r="AH22" s="317"/>
      <c r="AI22" s="317"/>
      <c r="AJ22" s="317"/>
      <c r="AK22" s="317"/>
      <c r="AL22" s="317"/>
      <c r="AM22" s="317"/>
      <c r="AN22" s="317"/>
      <c r="AO22" s="317"/>
      <c r="AP22" s="317"/>
      <c r="AQ22" s="317"/>
      <c r="AR22" s="317"/>
      <c r="AS22" s="317"/>
      <c r="AT22" s="317"/>
      <c r="AU22" s="317"/>
      <c r="AV22" s="317"/>
      <c r="AW22" s="317"/>
      <c r="AX22"/>
      <c r="AY22" s="4"/>
      <c r="AZ22" s="4"/>
      <c r="BA22" s="4"/>
      <c r="BB22" s="4"/>
      <c r="BC22" s="4"/>
      <c r="BD22" s="4"/>
      <c r="BE22" s="11"/>
      <c r="BF22" s="313"/>
      <c r="BG22" s="318"/>
      <c r="BH22" s="318"/>
      <c r="BI22" s="318"/>
      <c r="BJ22" s="318"/>
      <c r="BK22" s="318"/>
      <c r="BL22" s="318"/>
      <c r="BM22" s="318"/>
      <c r="BN22" s="318"/>
      <c r="BO22" s="318"/>
      <c r="BP22" s="318"/>
      <c r="BQ22" s="318"/>
      <c r="BR22" s="318"/>
      <c r="BS22" s="318"/>
      <c r="BT22" s="318"/>
      <c r="BU22" s="318"/>
      <c r="BV22" s="318"/>
      <c r="BW22" s="318"/>
      <c r="BX22" s="318"/>
      <c r="BY22" s="318"/>
      <c r="BZ22" s="314"/>
      <c r="CA22" s="275"/>
      <c r="CB22" s="276"/>
      <c r="CC22" s="277"/>
    </row>
    <row r="23" s="27" customFormat="1" customHeight="1" spans="5:81">
      <c r="E23" s="330"/>
      <c r="F23" s="331" t="s">
        <v>61</v>
      </c>
      <c r="G23" s="332"/>
      <c r="H23" s="332"/>
      <c r="I23" s="305"/>
      <c r="J23" s="261"/>
      <c r="K23" s="29"/>
      <c r="L23" s="30"/>
      <c r="M23" s="30"/>
      <c r="N23" s="30"/>
      <c r="O23" s="30"/>
      <c r="P23" s="30"/>
      <c r="Q23" s="30"/>
      <c r="R23" s="30"/>
      <c r="S23" s="30"/>
      <c r="T23" s="29"/>
      <c r="U23" s="31"/>
      <c r="V23" s="31"/>
      <c r="W23" s="296"/>
      <c r="X23" s="297"/>
      <c r="Y23" s="333" t="s">
        <v>62</v>
      </c>
      <c r="Z23" s="333"/>
      <c r="AA23" s="333"/>
      <c r="AB23" s="333"/>
      <c r="AC23" s="333"/>
      <c r="AD23" s="333"/>
      <c r="AE23" s="333"/>
      <c r="AF23" s="333"/>
      <c r="AG23" s="333"/>
      <c r="AH23" s="333"/>
      <c r="AI23" s="333"/>
      <c r="AJ23" s="333"/>
      <c r="AK23" s="333"/>
      <c r="AL23" s="333"/>
      <c r="AM23" s="333"/>
      <c r="AN23" s="333"/>
      <c r="AO23" s="333"/>
      <c r="AP23" s="333"/>
      <c r="AQ23" s="333"/>
      <c r="AR23" s="333"/>
      <c r="AS23" s="333"/>
      <c r="AT23" s="333"/>
      <c r="AU23" s="333"/>
      <c r="AV23" s="333"/>
      <c r="AW23" s="333"/>
      <c r="AX23"/>
      <c r="AY23" s="4"/>
      <c r="AZ23" s="4"/>
      <c r="BA23" s="4"/>
      <c r="BB23" s="4"/>
      <c r="BC23" s="4"/>
      <c r="BD23" s="4"/>
      <c r="BE23" s="11"/>
      <c r="BF23" s="313"/>
      <c r="BG23" s="318"/>
      <c r="BH23" s="318"/>
      <c r="BI23" s="318"/>
      <c r="BJ23" s="318"/>
      <c r="BK23" s="318"/>
      <c r="BL23" s="318"/>
      <c r="BM23" s="318"/>
      <c r="BN23" s="318"/>
      <c r="BO23" s="318"/>
      <c r="BP23" s="318"/>
      <c r="BQ23" s="318"/>
      <c r="BR23" s="318"/>
      <c r="BS23" s="318"/>
      <c r="BT23" s="318"/>
      <c r="BU23" s="318"/>
      <c r="BV23" s="318"/>
      <c r="BW23" s="318"/>
      <c r="BX23" s="318"/>
      <c r="BY23" s="318"/>
      <c r="BZ23" s="314"/>
      <c r="CA23" s="275"/>
      <c r="CB23" s="276"/>
      <c r="CC23" s="277"/>
    </row>
    <row r="24" s="27" customFormat="1" customHeight="1" spans="5:81">
      <c r="E24" s="292">
        <v>4.1</v>
      </c>
      <c r="F24" s="328" t="s">
        <v>63</v>
      </c>
      <c r="G24" s="305"/>
      <c r="H24" s="305"/>
      <c r="I24" s="305"/>
      <c r="J24" s="261"/>
      <c r="K24" s="29"/>
      <c r="L24" s="30"/>
      <c r="M24" s="30"/>
      <c r="N24" s="30"/>
      <c r="O24" s="30"/>
      <c r="P24" s="30"/>
      <c r="Q24" s="30"/>
      <c r="R24" s="30"/>
      <c r="S24" s="30"/>
      <c r="T24" s="29"/>
      <c r="U24" s="31"/>
      <c r="V24" s="31"/>
      <c r="W24" s="296"/>
      <c r="X24" s="316">
        <v>10</v>
      </c>
      <c r="Y24" s="317" t="s">
        <v>64</v>
      </c>
      <c r="Z24" s="317"/>
      <c r="AA24" s="317"/>
      <c r="AB24" s="317"/>
      <c r="AC24" s="317"/>
      <c r="AD24" s="317"/>
      <c r="AE24" s="317"/>
      <c r="AF24" s="317"/>
      <c r="AG24" s="317"/>
      <c r="AH24" s="317"/>
      <c r="AI24" s="317"/>
      <c r="AJ24" s="317"/>
      <c r="AK24" s="317"/>
      <c r="AL24" s="317"/>
      <c r="AM24" s="317"/>
      <c r="AN24" s="317"/>
      <c r="AO24" s="317"/>
      <c r="AP24" s="317"/>
      <c r="AQ24" s="317"/>
      <c r="AR24" s="317"/>
      <c r="AS24" s="317"/>
      <c r="AT24" s="317"/>
      <c r="AU24" s="317"/>
      <c r="AV24" s="317"/>
      <c r="AW24" s="317"/>
      <c r="AX24"/>
      <c r="AY24" s="4"/>
      <c r="AZ24" s="4"/>
      <c r="BA24" s="4"/>
      <c r="BB24" s="4"/>
      <c r="BC24" s="4"/>
      <c r="BD24" s="4"/>
      <c r="BE24" s="11"/>
      <c r="BF24" s="313"/>
      <c r="BG24" s="318"/>
      <c r="BH24" s="318"/>
      <c r="BI24" s="318"/>
      <c r="BJ24" s="318"/>
      <c r="BK24" s="318"/>
      <c r="BL24" s="318"/>
      <c r="BM24" s="318"/>
      <c r="BN24" s="318"/>
      <c r="BO24" s="318"/>
      <c r="BP24" s="318"/>
      <c r="BQ24" s="318"/>
      <c r="BR24" s="318"/>
      <c r="BS24" s="318"/>
      <c r="BT24" s="318"/>
      <c r="BU24" s="318"/>
      <c r="BV24" s="318"/>
      <c r="BW24" s="318"/>
      <c r="BX24" s="318"/>
      <c r="BY24" s="318"/>
      <c r="BZ24" s="314"/>
      <c r="CA24" s="275"/>
      <c r="CB24" s="276"/>
      <c r="CC24" s="277"/>
    </row>
    <row r="25" s="27" customFormat="1" customHeight="1" spans="5:81">
      <c r="E25" s="292"/>
      <c r="F25" s="334" t="s">
        <v>65</v>
      </c>
      <c r="G25" s="335"/>
      <c r="H25" s="335"/>
      <c r="I25" s="305"/>
      <c r="J25" s="261"/>
      <c r="K25" s="29"/>
      <c r="L25" s="30"/>
      <c r="M25" s="30"/>
      <c r="N25" s="30"/>
      <c r="O25" s="30"/>
      <c r="P25" s="30"/>
      <c r="Q25" s="30"/>
      <c r="R25" s="30"/>
      <c r="S25" s="30"/>
      <c r="T25" s="29"/>
      <c r="U25" s="31"/>
      <c r="V25" s="31"/>
      <c r="W25" s="296"/>
      <c r="X25" s="324"/>
      <c r="Y25" s="325" t="s">
        <v>66</v>
      </c>
      <c r="Z25" s="325"/>
      <c r="AA25" s="325"/>
      <c r="AB25" s="325"/>
      <c r="AC25" s="325"/>
      <c r="AD25" s="325"/>
      <c r="AE25" s="325"/>
      <c r="AF25" s="325"/>
      <c r="AG25" s="325"/>
      <c r="AH25" s="325"/>
      <c r="AI25" s="325"/>
      <c r="AJ25" s="325"/>
      <c r="AK25" s="325"/>
      <c r="AL25" s="325"/>
      <c r="AM25" s="325"/>
      <c r="AN25" s="325"/>
      <c r="AO25" s="325"/>
      <c r="AP25" s="325"/>
      <c r="AQ25" s="325"/>
      <c r="AR25" s="325"/>
      <c r="AS25" s="325"/>
      <c r="AT25" s="325"/>
      <c r="AU25" s="325"/>
      <c r="AV25" s="325"/>
      <c r="AW25" s="325"/>
      <c r="AX25"/>
      <c r="AY25" s="4"/>
      <c r="AZ25" s="4"/>
      <c r="BA25" s="4"/>
      <c r="BB25" s="4"/>
      <c r="BC25" s="4"/>
      <c r="BD25" s="4"/>
      <c r="BE25" s="11"/>
      <c r="BF25" s="313"/>
      <c r="BG25" s="318"/>
      <c r="BH25" s="318"/>
      <c r="BI25" s="318"/>
      <c r="BJ25" s="318"/>
      <c r="BK25" s="318"/>
      <c r="BL25" s="318"/>
      <c r="BM25" s="318"/>
      <c r="BN25" s="318"/>
      <c r="BO25" s="318"/>
      <c r="BP25" s="318"/>
      <c r="BQ25" s="318"/>
      <c r="BR25" s="318"/>
      <c r="BS25" s="318"/>
      <c r="BT25" s="318"/>
      <c r="BU25" s="318"/>
      <c r="BV25" s="318"/>
      <c r="BW25" s="318"/>
      <c r="BX25" s="318"/>
      <c r="BY25" s="318"/>
      <c r="BZ25" s="314"/>
      <c r="CA25" s="275"/>
      <c r="CB25" s="276"/>
      <c r="CC25" s="277"/>
    </row>
    <row r="26" s="27" customFormat="1" customHeight="1" spans="5:81">
      <c r="E26" s="292">
        <v>4.2</v>
      </c>
      <c r="F26" s="328" t="s">
        <v>67</v>
      </c>
      <c r="G26" s="305"/>
      <c r="H26" s="305"/>
      <c r="I26" s="305"/>
      <c r="J26" s="261"/>
      <c r="K26" s="29"/>
      <c r="L26" s="30"/>
      <c r="M26" s="30"/>
      <c r="N26" s="30"/>
      <c r="O26" s="30"/>
      <c r="P26" s="30"/>
      <c r="Q26" s="30"/>
      <c r="R26" s="30"/>
      <c r="S26" s="30"/>
      <c r="T26" s="29"/>
      <c r="U26" s="31"/>
      <c r="V26" s="31"/>
      <c r="W26" s="289" t="s">
        <v>68</v>
      </c>
      <c r="X26" s="336">
        <v>11</v>
      </c>
      <c r="Y26" s="337" t="s">
        <v>69</v>
      </c>
      <c r="Z26" s="337"/>
      <c r="AA26" s="337"/>
      <c r="AB26" s="337"/>
      <c r="AC26" s="337"/>
      <c r="AD26" s="337"/>
      <c r="AE26" s="337"/>
      <c r="AF26" s="337"/>
      <c r="AG26" s="337"/>
      <c r="AH26" s="337"/>
      <c r="AI26" s="337"/>
      <c r="AJ26" s="337"/>
      <c r="AK26" s="337"/>
      <c r="AL26" s="337"/>
      <c r="AM26" s="337"/>
      <c r="AN26" s="337"/>
      <c r="AO26" s="337"/>
      <c r="AP26" s="337"/>
      <c r="AQ26" s="337"/>
      <c r="AR26" s="337"/>
      <c r="AS26" s="337"/>
      <c r="AT26" s="337"/>
      <c r="AU26" s="337"/>
      <c r="AV26" s="337"/>
      <c r="AW26" s="337"/>
      <c r="AX26"/>
      <c r="AY26" s="4"/>
      <c r="AZ26" s="4"/>
      <c r="BA26" s="4"/>
      <c r="BB26" s="4"/>
      <c r="BC26" s="4"/>
      <c r="BD26" s="4"/>
      <c r="BE26" s="11"/>
      <c r="BF26" s="313"/>
      <c r="BG26" s="318"/>
      <c r="BH26" s="318"/>
      <c r="BI26" s="318"/>
      <c r="BJ26" s="318"/>
      <c r="BK26" s="318"/>
      <c r="BL26" s="318"/>
      <c r="BM26" s="318"/>
      <c r="BN26" s="318"/>
      <c r="BO26" s="318"/>
      <c r="BP26" s="318"/>
      <c r="BQ26" s="318"/>
      <c r="BR26" s="318"/>
      <c r="BS26" s="318"/>
      <c r="BT26" s="318"/>
      <c r="BU26" s="318"/>
      <c r="BV26" s="318"/>
      <c r="BW26" s="318"/>
      <c r="BX26" s="318"/>
      <c r="BY26" s="318"/>
      <c r="BZ26" s="314"/>
      <c r="CA26" s="275"/>
      <c r="CB26" s="276"/>
      <c r="CC26" s="277"/>
    </row>
    <row r="27" s="27" customFormat="1" customHeight="1" spans="5:81">
      <c r="E27" s="292">
        <v>4.3</v>
      </c>
      <c r="F27" s="338" t="s">
        <v>70</v>
      </c>
      <c r="G27" s="339"/>
      <c r="H27" s="339"/>
      <c r="I27" s="339"/>
      <c r="J27" s="261"/>
      <c r="K27" s="29"/>
      <c r="L27" s="30"/>
      <c r="M27" s="30"/>
      <c r="N27" s="30"/>
      <c r="O27" s="30"/>
      <c r="P27" s="30"/>
      <c r="Q27" s="30"/>
      <c r="R27" s="30"/>
      <c r="S27" s="30"/>
      <c r="T27" s="29"/>
      <c r="U27" s="31"/>
      <c r="V27" s="31"/>
      <c r="W27" s="340"/>
      <c r="X27" s="341" t="s">
        <v>71</v>
      </c>
      <c r="Y27" s="321" t="s">
        <v>72</v>
      </c>
      <c r="Z27" s="321"/>
      <c r="AA27" s="321"/>
      <c r="AB27" s="321"/>
      <c r="AC27" s="321"/>
      <c r="AD27" s="321"/>
      <c r="AE27" s="321"/>
      <c r="AF27" s="321"/>
      <c r="AG27" s="321"/>
      <c r="AH27" s="321"/>
      <c r="AI27" s="321"/>
      <c r="AJ27" s="321"/>
      <c r="AK27" s="321"/>
      <c r="AL27" s="321"/>
      <c r="AM27" s="321"/>
      <c r="AN27" s="321"/>
      <c r="AO27" s="321"/>
      <c r="AP27" s="321"/>
      <c r="AQ27" s="321"/>
      <c r="AR27" s="321"/>
      <c r="AS27" s="321"/>
      <c r="AT27" s="321"/>
      <c r="AU27" s="321"/>
      <c r="AV27" s="321"/>
      <c r="AW27" s="321"/>
      <c r="AX27"/>
      <c r="AY27" s="4"/>
      <c r="AZ27" s="4"/>
      <c r="BA27" s="4"/>
      <c r="BB27" s="4"/>
      <c r="BC27" s="4"/>
      <c r="BD27" s="4"/>
      <c r="BE27" s="11"/>
      <c r="BF27" s="313"/>
      <c r="BG27" s="318"/>
      <c r="BH27" s="318"/>
      <c r="BI27" s="318"/>
      <c r="BJ27" s="318"/>
      <c r="BK27" s="318"/>
      <c r="BL27" s="318"/>
      <c r="BM27" s="318"/>
      <c r="BN27" s="318"/>
      <c r="BO27" s="318"/>
      <c r="BP27" s="318"/>
      <c r="BQ27" s="318"/>
      <c r="BR27" s="318"/>
      <c r="BS27" s="318"/>
      <c r="BT27" s="318"/>
      <c r="BU27" s="318"/>
      <c r="BV27" s="318"/>
      <c r="BW27" s="318"/>
      <c r="BX27" s="318"/>
      <c r="BY27" s="318"/>
      <c r="BZ27" s="314"/>
      <c r="CA27" s="275"/>
      <c r="CB27" s="276"/>
      <c r="CC27" s="277"/>
    </row>
    <row r="28" s="27" customFormat="1" customHeight="1" spans="5:81">
      <c r="E28" s="292"/>
      <c r="F28" s="342" t="s">
        <v>73</v>
      </c>
      <c r="G28" s="327"/>
      <c r="H28" s="327"/>
      <c r="I28" s="305"/>
      <c r="J28" s="261"/>
      <c r="K28" s="29"/>
      <c r="L28" s="30"/>
      <c r="M28" s="30"/>
      <c r="N28" s="30"/>
      <c r="O28" s="30"/>
      <c r="P28" s="30"/>
      <c r="Q28" s="30"/>
      <c r="R28" s="30"/>
      <c r="S28" s="30"/>
      <c r="T28" s="29"/>
      <c r="U28" s="31"/>
      <c r="V28" s="31"/>
      <c r="W28" s="340"/>
      <c r="X28" s="343"/>
      <c r="Y28" s="321" t="s">
        <v>74</v>
      </c>
      <c r="Z28" s="321"/>
      <c r="AA28" s="321"/>
      <c r="AB28" s="321"/>
      <c r="AC28" s="321"/>
      <c r="AD28" s="321"/>
      <c r="AE28" s="321"/>
      <c r="AF28" s="321"/>
      <c r="AG28" s="321"/>
      <c r="AH28" s="321"/>
      <c r="AI28" s="321"/>
      <c r="AJ28" s="321"/>
      <c r="AK28" s="321"/>
      <c r="AL28" s="321"/>
      <c r="AM28" s="321"/>
      <c r="AN28" s="321"/>
      <c r="AO28" s="321"/>
      <c r="AP28" s="321"/>
      <c r="AQ28" s="321"/>
      <c r="AR28" s="321"/>
      <c r="AS28" s="321"/>
      <c r="AT28" s="321"/>
      <c r="AU28" s="321"/>
      <c r="AV28" s="321"/>
      <c r="AW28" s="321"/>
      <c r="AX28"/>
      <c r="AY28" s="4"/>
      <c r="AZ28" s="4"/>
      <c r="BA28" s="4"/>
      <c r="BB28" s="4"/>
      <c r="BC28" s="4"/>
      <c r="BD28" s="4"/>
      <c r="BE28" s="11"/>
      <c r="BF28" s="313"/>
      <c r="BG28" s="318"/>
      <c r="BH28" s="318"/>
      <c r="BI28" s="318"/>
      <c r="BJ28" s="318"/>
      <c r="BK28" s="318"/>
      <c r="BL28" s="318"/>
      <c r="BM28" s="318"/>
      <c r="BN28" s="318"/>
      <c r="BO28" s="318"/>
      <c r="BP28" s="318"/>
      <c r="BQ28" s="318"/>
      <c r="BR28" s="318"/>
      <c r="BS28" s="318"/>
      <c r="BT28" s="318"/>
      <c r="BU28" s="318"/>
      <c r="BV28" s="318"/>
      <c r="BW28" s="318"/>
      <c r="BX28" s="318"/>
      <c r="BY28" s="318"/>
      <c r="BZ28" s="314"/>
      <c r="CA28" s="275"/>
      <c r="CB28" s="276"/>
      <c r="CC28" s="277"/>
    </row>
    <row r="29" s="27" customFormat="1" customHeight="1" spans="5:81">
      <c r="E29" s="292"/>
      <c r="F29" s="344" t="s">
        <v>75</v>
      </c>
      <c r="G29" s="345"/>
      <c r="H29" s="345"/>
      <c r="I29" s="339"/>
      <c r="J29" s="261"/>
      <c r="K29" s="29"/>
      <c r="L29" s="30"/>
      <c r="M29" s="30"/>
      <c r="N29" s="30"/>
      <c r="O29" s="30"/>
      <c r="P29" s="30"/>
      <c r="Q29" s="30"/>
      <c r="R29" s="30"/>
      <c r="S29" s="30"/>
      <c r="T29" s="29"/>
      <c r="U29" s="31"/>
      <c r="V29" s="31"/>
      <c r="W29" s="340"/>
      <c r="X29" s="346"/>
      <c r="Y29" s="321" t="s">
        <v>76</v>
      </c>
      <c r="Z29" s="321"/>
      <c r="AA29" s="321"/>
      <c r="AB29" s="321"/>
      <c r="AC29" s="321"/>
      <c r="AD29" s="321"/>
      <c r="AE29" s="321"/>
      <c r="AF29" s="321"/>
      <c r="AG29" s="321"/>
      <c r="AH29" s="321"/>
      <c r="AI29" s="321"/>
      <c r="AJ29" s="321"/>
      <c r="AK29" s="321"/>
      <c r="AL29" s="321"/>
      <c r="AM29" s="321"/>
      <c r="AN29" s="321"/>
      <c r="AO29" s="321"/>
      <c r="AP29" s="321"/>
      <c r="AQ29" s="321"/>
      <c r="AR29" s="321"/>
      <c r="AS29" s="321"/>
      <c r="AT29" s="321"/>
      <c r="AU29" s="321"/>
      <c r="AV29" s="321"/>
      <c r="AW29" s="321"/>
      <c r="AX29"/>
      <c r="AY29" s="4"/>
      <c r="AZ29" s="4"/>
      <c r="BA29" s="4"/>
      <c r="BB29" s="4"/>
      <c r="BC29" s="4"/>
      <c r="BD29" s="4"/>
      <c r="BE29" s="11"/>
      <c r="BF29" s="313"/>
      <c r="BG29" s="318"/>
      <c r="BH29" s="318"/>
      <c r="BI29" s="318"/>
      <c r="BJ29" s="318"/>
      <c r="BK29" s="318"/>
      <c r="BL29" s="318"/>
      <c r="BM29" s="318"/>
      <c r="BN29" s="318"/>
      <c r="BO29" s="318"/>
      <c r="BP29" s="318"/>
      <c r="BQ29" s="318"/>
      <c r="BR29" s="318"/>
      <c r="BS29" s="318"/>
      <c r="BT29" s="318"/>
      <c r="BU29" s="318"/>
      <c r="BV29" s="318"/>
      <c r="BW29" s="318"/>
      <c r="BX29" s="318"/>
      <c r="BY29" s="318"/>
      <c r="BZ29" s="314"/>
      <c r="CA29" s="275"/>
      <c r="CB29" s="276"/>
      <c r="CC29" s="277"/>
    </row>
    <row r="30" s="27" customFormat="1" customHeight="1" spans="5:81">
      <c r="E30" s="292"/>
      <c r="F30" s="347" t="s">
        <v>77</v>
      </c>
      <c r="G30" s="348"/>
      <c r="H30" s="348"/>
      <c r="I30" s="305"/>
      <c r="J30" s="261"/>
      <c r="K30" s="29"/>
      <c r="L30" s="30"/>
      <c r="M30" s="30"/>
      <c r="N30" s="30"/>
      <c r="O30" s="30"/>
      <c r="P30" s="30"/>
      <c r="Q30" s="30"/>
      <c r="R30" s="30"/>
      <c r="S30" s="30"/>
      <c r="T30" s="29"/>
      <c r="U30" s="31"/>
      <c r="V30" s="31"/>
      <c r="W30" s="340"/>
      <c r="X30" s="324"/>
      <c r="Y30" s="325" t="s">
        <v>78</v>
      </c>
      <c r="Z30" s="325"/>
      <c r="AA30" s="325"/>
      <c r="AB30" s="325"/>
      <c r="AC30" s="325"/>
      <c r="AD30" s="325"/>
      <c r="AE30" s="325"/>
      <c r="AF30" s="325"/>
      <c r="AG30" s="325"/>
      <c r="AH30" s="325"/>
      <c r="AI30" s="325"/>
      <c r="AJ30" s="325"/>
      <c r="AK30" s="325"/>
      <c r="AL30" s="325"/>
      <c r="AM30" s="325"/>
      <c r="AN30" s="325"/>
      <c r="AO30" s="325"/>
      <c r="AP30" s="325"/>
      <c r="AQ30" s="325"/>
      <c r="AR30" s="325"/>
      <c r="AS30" s="325"/>
      <c r="AT30" s="325"/>
      <c r="AU30" s="325"/>
      <c r="AV30" s="325"/>
      <c r="AW30" s="325"/>
      <c r="AX30"/>
      <c r="AY30" s="4"/>
      <c r="AZ30" s="4"/>
      <c r="BA30" s="4"/>
      <c r="BB30" s="4"/>
      <c r="BC30" s="4"/>
      <c r="BD30" s="4"/>
      <c r="BE30" s="11"/>
      <c r="BF30" s="313"/>
      <c r="BG30" s="318"/>
      <c r="BH30" s="318"/>
      <c r="BI30" s="318"/>
      <c r="BJ30" s="318"/>
      <c r="BK30" s="318"/>
      <c r="BL30" s="318"/>
      <c r="BM30" s="318"/>
      <c r="BN30" s="318"/>
      <c r="BO30" s="318"/>
      <c r="BP30" s="318"/>
      <c r="BQ30" s="318"/>
      <c r="BR30" s="318"/>
      <c r="BS30" s="318"/>
      <c r="BT30" s="318"/>
      <c r="BU30" s="318"/>
      <c r="BV30" s="318"/>
      <c r="BW30" s="318"/>
      <c r="BX30" s="318"/>
      <c r="BY30" s="318"/>
      <c r="BZ30" s="314"/>
      <c r="CA30" s="275"/>
      <c r="CB30" s="276"/>
      <c r="CC30" s="277"/>
    </row>
    <row r="31" s="27" customFormat="1" customHeight="1" spans="5:81">
      <c r="E31" s="292"/>
      <c r="F31" s="326" t="s">
        <v>79</v>
      </c>
      <c r="G31" s="327"/>
      <c r="H31" s="327"/>
      <c r="I31" s="305"/>
      <c r="J31" s="261"/>
      <c r="K31" s="29"/>
      <c r="L31" s="30"/>
      <c r="M31" s="30"/>
      <c r="N31" s="30"/>
      <c r="O31" s="30"/>
      <c r="P31" s="30"/>
      <c r="Q31" s="30"/>
      <c r="R31" s="30"/>
      <c r="S31" s="30"/>
      <c r="T31" s="29"/>
      <c r="U31" s="31"/>
      <c r="V31" s="31"/>
      <c r="W31" s="340"/>
      <c r="X31" s="336">
        <v>12</v>
      </c>
      <c r="Y31" s="337" t="s">
        <v>80</v>
      </c>
      <c r="Z31" s="337"/>
      <c r="AA31" s="337"/>
      <c r="AB31" s="337"/>
      <c r="AC31" s="337"/>
      <c r="AD31" s="337"/>
      <c r="AE31" s="337"/>
      <c r="AF31" s="337"/>
      <c r="AG31" s="337"/>
      <c r="AH31" s="337"/>
      <c r="AI31" s="337"/>
      <c r="AJ31" s="337"/>
      <c r="AK31" s="337"/>
      <c r="AL31" s="337"/>
      <c r="AM31" s="337"/>
      <c r="AN31" s="337"/>
      <c r="AO31" s="337"/>
      <c r="AP31" s="337"/>
      <c r="AQ31" s="337"/>
      <c r="AR31" s="337"/>
      <c r="AS31" s="337"/>
      <c r="AT31" s="337"/>
      <c r="AU31" s="337"/>
      <c r="AV31" s="337"/>
      <c r="AW31" s="337"/>
      <c r="AX31"/>
      <c r="AY31" s="4"/>
      <c r="AZ31" s="4"/>
      <c r="BA31" s="4"/>
      <c r="BB31" s="4"/>
      <c r="BC31" s="4"/>
      <c r="BD31" s="4"/>
      <c r="BE31" s="11"/>
      <c r="BF31" s="313"/>
      <c r="BG31" s="318"/>
      <c r="BH31" s="318"/>
      <c r="BI31" s="318"/>
      <c r="BJ31" s="318"/>
      <c r="BK31" s="318"/>
      <c r="BL31" s="318"/>
      <c r="BM31" s="318"/>
      <c r="BN31" s="318"/>
      <c r="BO31" s="318"/>
      <c r="BP31" s="318"/>
      <c r="BQ31" s="318"/>
      <c r="BR31" s="318"/>
      <c r="BS31" s="318"/>
      <c r="BT31" s="318"/>
      <c r="BU31" s="318"/>
      <c r="BV31" s="318"/>
      <c r="BW31" s="318"/>
      <c r="BX31" s="318"/>
      <c r="BY31" s="318"/>
      <c r="BZ31" s="314"/>
      <c r="CA31" s="275"/>
      <c r="CB31" s="276"/>
      <c r="CC31" s="277"/>
    </row>
    <row r="32" s="27" customFormat="1" customHeight="1" spans="5:81">
      <c r="E32" s="292"/>
      <c r="F32" s="328" t="s">
        <v>81</v>
      </c>
      <c r="G32" s="305"/>
      <c r="H32" s="305"/>
      <c r="I32" s="305"/>
      <c r="J32" s="261"/>
      <c r="K32" s="29"/>
      <c r="L32" s="30"/>
      <c r="M32" s="30"/>
      <c r="N32" s="30"/>
      <c r="O32" s="30"/>
      <c r="P32" s="30"/>
      <c r="Q32" s="30"/>
      <c r="R32" s="30"/>
      <c r="S32" s="30"/>
      <c r="T32" s="45"/>
      <c r="U32" s="31"/>
      <c r="V32" s="31"/>
      <c r="W32" s="340"/>
      <c r="X32" s="341" t="s">
        <v>71</v>
      </c>
      <c r="Y32" s="321" t="s">
        <v>82</v>
      </c>
      <c r="Z32" s="321"/>
      <c r="AA32" s="321"/>
      <c r="AB32" s="321"/>
      <c r="AC32" s="321"/>
      <c r="AD32" s="321"/>
      <c r="AE32" s="321"/>
      <c r="AF32" s="321"/>
      <c r="AG32" s="321"/>
      <c r="AH32" s="321"/>
      <c r="AI32" s="321"/>
      <c r="AJ32" s="321"/>
      <c r="AK32" s="321"/>
      <c r="AL32" s="321"/>
      <c r="AM32" s="321"/>
      <c r="AN32" s="321"/>
      <c r="AO32" s="321"/>
      <c r="AP32" s="321"/>
      <c r="AQ32" s="321"/>
      <c r="AR32" s="321"/>
      <c r="AS32" s="321"/>
      <c r="AT32" s="321"/>
      <c r="AU32" s="321"/>
      <c r="AV32" s="321"/>
      <c r="AW32" s="321"/>
      <c r="AX32"/>
      <c r="AY32" s="4"/>
      <c r="AZ32" s="4"/>
      <c r="BA32" s="4"/>
      <c r="BB32" s="4"/>
      <c r="BC32" s="4"/>
      <c r="BD32" s="4"/>
      <c r="BE32" s="11"/>
      <c r="BF32" s="313"/>
      <c r="BG32" s="318"/>
      <c r="BH32" s="318"/>
      <c r="BI32" s="318"/>
      <c r="BJ32" s="318"/>
      <c r="BK32" s="318"/>
      <c r="BL32" s="318"/>
      <c r="BM32" s="318"/>
      <c r="BN32" s="318"/>
      <c r="BO32" s="318"/>
      <c r="BP32" s="318"/>
      <c r="BQ32" s="318"/>
      <c r="BR32" s="318"/>
      <c r="BS32" s="318"/>
      <c r="BT32" s="318"/>
      <c r="BU32" s="318"/>
      <c r="BV32" s="318"/>
      <c r="BW32" s="318"/>
      <c r="BX32" s="318"/>
      <c r="BY32" s="318"/>
      <c r="BZ32" s="314"/>
      <c r="CA32" s="275"/>
      <c r="CB32" s="276"/>
      <c r="CC32" s="277"/>
    </row>
    <row r="33" s="27" customFormat="1" customHeight="1" spans="5:81">
      <c r="E33" s="292">
        <v>4.4</v>
      </c>
      <c r="F33" s="338" t="s">
        <v>83</v>
      </c>
      <c r="G33" s="339"/>
      <c r="H33" s="339"/>
      <c r="I33" s="339"/>
      <c r="J33" s="261"/>
      <c r="K33" s="29"/>
      <c r="L33" s="30"/>
      <c r="M33" s="30"/>
      <c r="N33" s="30"/>
      <c r="O33" s="30"/>
      <c r="P33" s="30"/>
      <c r="Q33" s="30"/>
      <c r="R33" s="30"/>
      <c r="S33" s="30"/>
      <c r="T33" s="45"/>
      <c r="U33" s="31"/>
      <c r="V33" s="31"/>
      <c r="W33" s="340"/>
      <c r="X33" s="349" t="s">
        <v>84</v>
      </c>
      <c r="Y33" s="321" t="s">
        <v>85</v>
      </c>
      <c r="Z33" s="321"/>
      <c r="AA33" s="321"/>
      <c r="AB33" s="321"/>
      <c r="AC33" s="321"/>
      <c r="AD33" s="321"/>
      <c r="AE33" s="321"/>
      <c r="AF33" s="321"/>
      <c r="AG33" s="321"/>
      <c r="AH33" s="321"/>
      <c r="AI33" s="321"/>
      <c r="AJ33" s="321"/>
      <c r="AK33" s="321"/>
      <c r="AL33" s="321"/>
      <c r="AM33" s="321"/>
      <c r="AN33" s="321"/>
      <c r="AO33" s="321"/>
      <c r="AP33" s="321"/>
      <c r="AQ33" s="321"/>
      <c r="AR33" s="321"/>
      <c r="AS33" s="321"/>
      <c r="AT33" s="321"/>
      <c r="AU33" s="321"/>
      <c r="AV33" s="321"/>
      <c r="AW33" s="321"/>
      <c r="AX33"/>
      <c r="AY33" s="4"/>
      <c r="AZ33" s="4"/>
      <c r="BA33" s="4"/>
      <c r="BB33" s="4"/>
      <c r="BC33" s="4"/>
      <c r="BD33" s="4"/>
      <c r="BE33" s="11"/>
      <c r="BF33" s="313"/>
      <c r="BG33" s="318"/>
      <c r="BH33" s="318"/>
      <c r="BI33" s="318"/>
      <c r="BJ33" s="318"/>
      <c r="BK33" s="318"/>
      <c r="BL33" s="318"/>
      <c r="BM33" s="318"/>
      <c r="BN33" s="318"/>
      <c r="BO33" s="318"/>
      <c r="BP33" s="318"/>
      <c r="BQ33" s="318"/>
      <c r="BR33" s="318"/>
      <c r="BS33" s="318"/>
      <c r="BT33" s="318"/>
      <c r="BU33" s="318"/>
      <c r="BV33" s="318"/>
      <c r="BW33" s="318"/>
      <c r="BX33" s="318"/>
      <c r="BY33" s="318"/>
      <c r="BZ33" s="314"/>
      <c r="CA33" s="275"/>
      <c r="CB33" s="276"/>
      <c r="CC33" s="277"/>
    </row>
    <row r="34" s="27" customFormat="1" customHeight="1" spans="5:81">
      <c r="E34" s="292"/>
      <c r="F34" s="342" t="s">
        <v>86</v>
      </c>
      <c r="G34" s="350"/>
      <c r="H34" s="350"/>
      <c r="I34" s="339"/>
      <c r="J34" s="261"/>
      <c r="K34" s="29"/>
      <c r="L34" s="30"/>
      <c r="M34" s="30"/>
      <c r="N34" s="30"/>
      <c r="O34" s="30"/>
      <c r="P34" s="30"/>
      <c r="Q34" s="30"/>
      <c r="R34" s="30"/>
      <c r="S34" s="30"/>
      <c r="T34" s="45"/>
      <c r="U34" s="31"/>
      <c r="V34" s="31"/>
      <c r="W34" s="340"/>
      <c r="X34" s="349" t="s">
        <v>87</v>
      </c>
      <c r="Y34" s="321" t="s">
        <v>88</v>
      </c>
      <c r="Z34" s="321"/>
      <c r="AA34" s="321"/>
      <c r="AB34" s="321"/>
      <c r="AC34" s="321"/>
      <c r="AD34" s="321"/>
      <c r="AE34" s="321"/>
      <c r="AF34" s="321"/>
      <c r="AG34" s="321"/>
      <c r="AH34" s="321"/>
      <c r="AI34" s="321"/>
      <c r="AJ34" s="321"/>
      <c r="AK34" s="321"/>
      <c r="AL34" s="321"/>
      <c r="AM34" s="321"/>
      <c r="AN34" s="321"/>
      <c r="AO34" s="321"/>
      <c r="AP34" s="321"/>
      <c r="AQ34" s="321"/>
      <c r="AR34" s="321"/>
      <c r="AS34" s="321"/>
      <c r="AT34" s="321"/>
      <c r="AU34" s="321"/>
      <c r="AV34" s="321"/>
      <c r="AW34" s="321"/>
      <c r="AX34"/>
      <c r="AY34" s="4"/>
      <c r="AZ34" s="4"/>
      <c r="BA34" s="4"/>
      <c r="BB34" s="4"/>
      <c r="BC34" s="4"/>
      <c r="BD34" s="4"/>
      <c r="BE34" s="11"/>
      <c r="BF34" s="313"/>
      <c r="BG34" s="318"/>
      <c r="BH34" s="318"/>
      <c r="BI34" s="318"/>
      <c r="BJ34" s="318"/>
      <c r="BK34" s="318"/>
      <c r="BL34" s="318"/>
      <c r="BM34" s="318"/>
      <c r="BN34" s="318"/>
      <c r="BO34" s="318"/>
      <c r="BP34" s="318"/>
      <c r="BQ34" s="318"/>
      <c r="BR34" s="318"/>
      <c r="BS34" s="318"/>
      <c r="BT34" s="318"/>
      <c r="BU34" s="318"/>
      <c r="BV34" s="318"/>
      <c r="BW34" s="318"/>
      <c r="BX34" s="318"/>
      <c r="BY34" s="318"/>
      <c r="BZ34" s="314"/>
      <c r="CA34" s="275"/>
      <c r="CB34" s="276"/>
      <c r="CC34" s="277"/>
    </row>
    <row r="35" s="27" customFormat="1" customHeight="1" spans="5:81">
      <c r="E35" s="292"/>
      <c r="F35" s="342" t="s">
        <v>89</v>
      </c>
      <c r="G35" s="350"/>
      <c r="H35" s="350"/>
      <c r="I35" s="339"/>
      <c r="J35" s="261"/>
      <c r="K35" s="29"/>
      <c r="L35" s="30"/>
      <c r="M35" s="30"/>
      <c r="N35" s="30"/>
      <c r="O35" s="30"/>
      <c r="P35" s="30"/>
      <c r="Q35" s="30"/>
      <c r="R35" s="30"/>
      <c r="S35" s="30"/>
      <c r="T35" s="29"/>
      <c r="U35" s="31"/>
      <c r="V35" s="31"/>
      <c r="W35" s="340"/>
      <c r="X35" s="349" t="s">
        <v>90</v>
      </c>
      <c r="Y35" s="321" t="s">
        <v>91</v>
      </c>
      <c r="Z35" s="321"/>
      <c r="AA35" s="321"/>
      <c r="AB35" s="321"/>
      <c r="AC35" s="321"/>
      <c r="AD35" s="321"/>
      <c r="AE35" s="321"/>
      <c r="AF35" s="321"/>
      <c r="AG35" s="321"/>
      <c r="AH35" s="321"/>
      <c r="AI35" s="321"/>
      <c r="AJ35" s="321"/>
      <c r="AK35" s="321"/>
      <c r="AL35" s="321"/>
      <c r="AM35" s="321"/>
      <c r="AN35" s="321"/>
      <c r="AO35" s="321"/>
      <c r="AP35" s="321"/>
      <c r="AQ35" s="321"/>
      <c r="AR35" s="321"/>
      <c r="AS35" s="321"/>
      <c r="AT35" s="321"/>
      <c r="AU35" s="321"/>
      <c r="AV35" s="321"/>
      <c r="AW35" s="321"/>
      <c r="AX35"/>
      <c r="AY35" s="4"/>
      <c r="AZ35" s="4"/>
      <c r="BA35" s="4"/>
      <c r="BB35" s="4"/>
      <c r="BC35" s="4"/>
      <c r="BD35" s="4"/>
      <c r="BE35" s="11"/>
      <c r="BF35" s="313"/>
      <c r="BG35" s="318"/>
      <c r="BH35" s="318"/>
      <c r="BI35" s="318"/>
      <c r="BJ35" s="318"/>
      <c r="BK35" s="318"/>
      <c r="BL35" s="318"/>
      <c r="BM35" s="318"/>
      <c r="BN35" s="318"/>
      <c r="BO35" s="318"/>
      <c r="BP35" s="318"/>
      <c r="BQ35" s="318"/>
      <c r="BR35" s="318"/>
      <c r="BS35" s="318"/>
      <c r="BT35" s="318"/>
      <c r="BU35" s="318"/>
      <c r="BV35" s="318"/>
      <c r="BW35" s="318"/>
      <c r="BX35" s="318"/>
      <c r="BY35" s="318"/>
      <c r="BZ35" s="314"/>
      <c r="CA35" s="275"/>
      <c r="CB35" s="276"/>
      <c r="CC35" s="277"/>
    </row>
    <row r="36" s="27" customFormat="1" customHeight="1" spans="5:81">
      <c r="E36" s="292"/>
      <c r="F36" s="334" t="s">
        <v>92</v>
      </c>
      <c r="G36" s="335"/>
      <c r="H36" s="335"/>
      <c r="I36" s="305"/>
      <c r="J36" s="261"/>
      <c r="K36" s="29"/>
      <c r="L36" s="30"/>
      <c r="M36" s="30"/>
      <c r="N36" s="30"/>
      <c r="O36" s="30"/>
      <c r="P36" s="30"/>
      <c r="Q36" s="30"/>
      <c r="R36" s="30"/>
      <c r="S36" s="30"/>
      <c r="T36" s="29"/>
      <c r="U36" s="31"/>
      <c r="V36" s="31"/>
      <c r="W36" s="340"/>
      <c r="X36" s="320"/>
      <c r="Y36" s="321" t="s">
        <v>93</v>
      </c>
      <c r="Z36" s="321"/>
      <c r="AA36" s="321"/>
      <c r="AB36" s="321"/>
      <c r="AC36" s="321"/>
      <c r="AD36" s="321"/>
      <c r="AE36" s="321"/>
      <c r="AF36" s="321"/>
      <c r="AG36" s="321"/>
      <c r="AH36" s="321"/>
      <c r="AI36" s="321"/>
      <c r="AJ36" s="321"/>
      <c r="AK36" s="321"/>
      <c r="AL36" s="321"/>
      <c r="AM36" s="321"/>
      <c r="AN36" s="321"/>
      <c r="AO36" s="321"/>
      <c r="AP36" s="321"/>
      <c r="AQ36" s="321"/>
      <c r="AR36" s="321"/>
      <c r="AS36" s="321"/>
      <c r="AT36" s="321"/>
      <c r="AU36" s="321"/>
      <c r="AV36" s="321"/>
      <c r="AW36" s="321"/>
      <c r="AX36"/>
      <c r="AY36" s="4"/>
      <c r="AZ36" s="4"/>
      <c r="BA36" s="4"/>
      <c r="BB36" s="4"/>
      <c r="BC36" s="4"/>
      <c r="BD36" s="4"/>
      <c r="BE36" s="11"/>
      <c r="BF36" s="313"/>
      <c r="BG36" s="318"/>
      <c r="BH36" s="318"/>
      <c r="BI36" s="318"/>
      <c r="BJ36" s="318"/>
      <c r="BK36" s="318"/>
      <c r="BL36" s="318"/>
      <c r="BM36" s="318"/>
      <c r="BN36" s="318"/>
      <c r="BO36" s="318"/>
      <c r="BP36" s="318"/>
      <c r="BQ36" s="318"/>
      <c r="BR36" s="318"/>
      <c r="BS36" s="318"/>
      <c r="BT36" s="318"/>
      <c r="BU36" s="318"/>
      <c r="BV36" s="318"/>
      <c r="BW36" s="318"/>
      <c r="BX36" s="318"/>
      <c r="BY36" s="318"/>
      <c r="BZ36" s="314"/>
      <c r="CA36" s="275"/>
      <c r="CB36" s="276"/>
      <c r="CC36" s="277"/>
    </row>
    <row r="37" s="27" customFormat="1" customHeight="1" spans="5:81">
      <c r="E37" s="292"/>
      <c r="F37" s="347" t="s">
        <v>94</v>
      </c>
      <c r="G37" s="348"/>
      <c r="H37" s="348"/>
      <c r="I37" s="305"/>
      <c r="J37" s="261"/>
      <c r="K37" s="29"/>
      <c r="L37" s="30"/>
      <c r="M37" s="30"/>
      <c r="N37" s="30"/>
      <c r="O37" s="30"/>
      <c r="P37" s="30"/>
      <c r="Q37" s="30"/>
      <c r="R37" s="30"/>
      <c r="S37" s="30"/>
      <c r="T37" s="29"/>
      <c r="U37" s="31"/>
      <c r="V37" s="31"/>
      <c r="W37" s="340"/>
      <c r="X37" s="351"/>
      <c r="Y37" s="308" t="s">
        <v>95</v>
      </c>
      <c r="Z37" s="308"/>
      <c r="AA37" s="308"/>
      <c r="AB37" s="308"/>
      <c r="AC37" s="308"/>
      <c r="AD37" s="308"/>
      <c r="AE37" s="308"/>
      <c r="AF37" s="308"/>
      <c r="AG37" s="308"/>
      <c r="AH37" s="308"/>
      <c r="AI37" s="308"/>
      <c r="AJ37" s="308"/>
      <c r="AK37" s="308"/>
      <c r="AL37" s="308"/>
      <c r="AM37" s="308"/>
      <c r="AN37" s="308"/>
      <c r="AO37" s="308"/>
      <c r="AP37" s="308"/>
      <c r="AQ37" s="308"/>
      <c r="AR37" s="308"/>
      <c r="AS37" s="308"/>
      <c r="AT37" s="308"/>
      <c r="AU37" s="308"/>
      <c r="AV37" s="308"/>
      <c r="AW37" s="308"/>
      <c r="AX37"/>
      <c r="AY37" s="4"/>
      <c r="AZ37" s="4"/>
      <c r="BA37" s="4"/>
      <c r="BB37" s="4"/>
      <c r="BC37" s="4"/>
      <c r="BD37" s="4"/>
      <c r="BE37" s="11"/>
      <c r="BF37" s="313"/>
      <c r="BG37" s="318"/>
      <c r="BH37" s="318"/>
      <c r="BI37" s="318"/>
      <c r="BJ37" s="318"/>
      <c r="BK37" s="318"/>
      <c r="BL37" s="318"/>
      <c r="BM37" s="318"/>
      <c r="BN37" s="318"/>
      <c r="BO37" s="318"/>
      <c r="BP37" s="318"/>
      <c r="BQ37" s="318"/>
      <c r="BR37" s="318"/>
      <c r="BS37" s="318"/>
      <c r="BT37" s="318"/>
      <c r="BU37" s="318"/>
      <c r="BV37" s="318"/>
      <c r="BW37" s="318"/>
      <c r="BX37" s="318"/>
      <c r="BY37" s="318"/>
      <c r="BZ37" s="314"/>
      <c r="CA37" s="275"/>
      <c r="CB37" s="276"/>
      <c r="CC37" s="277"/>
    </row>
    <row r="38" s="27" customFormat="1" customHeight="1" spans="5:81">
      <c r="E38" s="292"/>
      <c r="F38" s="326" t="s">
        <v>96</v>
      </c>
      <c r="G38" s="327"/>
      <c r="H38" s="327"/>
      <c r="I38" s="305"/>
      <c r="J38" s="261"/>
      <c r="K38" s="29"/>
      <c r="L38" s="30"/>
      <c r="M38" s="30"/>
      <c r="N38" s="30"/>
      <c r="O38" s="30"/>
      <c r="P38" s="30"/>
      <c r="Q38" s="30"/>
      <c r="R38" s="30"/>
      <c r="S38" s="30"/>
      <c r="T38" s="29"/>
      <c r="U38" s="31"/>
      <c r="V38" s="31"/>
      <c r="W38" s="340"/>
      <c r="X38" s="352">
        <v>13</v>
      </c>
      <c r="Y38" s="353" t="s">
        <v>97</v>
      </c>
      <c r="Z38" s="317"/>
      <c r="AA38" s="317"/>
      <c r="AB38" s="317"/>
      <c r="AC38" s="317"/>
      <c r="AD38" s="317"/>
      <c r="AE38" s="317"/>
      <c r="AF38" s="317"/>
      <c r="AG38" s="317"/>
      <c r="AH38" s="317"/>
      <c r="AI38" s="317"/>
      <c r="AJ38" s="317"/>
      <c r="AK38" s="317"/>
      <c r="AL38" s="317"/>
      <c r="AM38" s="317"/>
      <c r="AN38" s="317"/>
      <c r="AO38" s="317"/>
      <c r="AP38" s="317"/>
      <c r="AQ38" s="317"/>
      <c r="AR38" s="317"/>
      <c r="AS38" s="317"/>
      <c r="AT38" s="317"/>
      <c r="AU38" s="317"/>
      <c r="AV38" s="317"/>
      <c r="AW38" s="317"/>
      <c r="AX38"/>
      <c r="AY38" s="4"/>
      <c r="AZ38" s="4"/>
      <c r="BA38" s="4"/>
      <c r="BB38" s="4"/>
      <c r="BC38" s="4"/>
      <c r="BD38" s="4"/>
      <c r="BE38" s="11"/>
      <c r="BF38" s="313"/>
      <c r="BG38" s="318"/>
      <c r="BH38" s="318"/>
      <c r="BI38" s="318"/>
      <c r="BJ38" s="318"/>
      <c r="BK38" s="318"/>
      <c r="BL38" s="318"/>
      <c r="BM38" s="318"/>
      <c r="BN38" s="318"/>
      <c r="BO38" s="318"/>
      <c r="BP38" s="318"/>
      <c r="BQ38" s="318"/>
      <c r="BR38" s="318"/>
      <c r="BS38" s="318"/>
      <c r="BT38" s="318"/>
      <c r="BU38" s="318"/>
      <c r="BV38" s="318"/>
      <c r="BW38" s="318"/>
      <c r="BX38" s="318"/>
      <c r="BY38" s="318"/>
      <c r="BZ38" s="314"/>
      <c r="CA38" s="275"/>
      <c r="CB38" s="276"/>
      <c r="CC38" s="277"/>
    </row>
    <row r="39" s="27" customFormat="1" customHeight="1" spans="5:81">
      <c r="E39" s="292"/>
      <c r="F39" s="326" t="s">
        <v>98</v>
      </c>
      <c r="G39" s="327"/>
      <c r="H39" s="327"/>
      <c r="I39" s="305"/>
      <c r="J39" s="261"/>
      <c r="K39" s="29"/>
      <c r="L39" s="30"/>
      <c r="M39" s="30"/>
      <c r="N39" s="30"/>
      <c r="O39" s="30"/>
      <c r="P39" s="30"/>
      <c r="Q39" s="30"/>
      <c r="R39" s="30"/>
      <c r="S39" s="30"/>
      <c r="T39" s="29"/>
      <c r="U39" s="31"/>
      <c r="V39" s="31"/>
      <c r="W39" s="340"/>
      <c r="X39" s="354"/>
      <c r="Y39" s="355" t="s">
        <v>99</v>
      </c>
      <c r="Z39" s="325"/>
      <c r="AA39" s="325"/>
      <c r="AB39" s="325"/>
      <c r="AC39" s="325"/>
      <c r="AD39" s="325"/>
      <c r="AE39" s="325"/>
      <c r="AF39" s="325"/>
      <c r="AG39" s="325"/>
      <c r="AH39" s="325"/>
      <c r="AI39" s="325"/>
      <c r="AJ39" s="325"/>
      <c r="AK39" s="325"/>
      <c r="AL39" s="325"/>
      <c r="AM39" s="325"/>
      <c r="AN39" s="325"/>
      <c r="AO39" s="325"/>
      <c r="AP39" s="325"/>
      <c r="AQ39" s="325"/>
      <c r="AR39" s="325"/>
      <c r="AS39" s="325"/>
      <c r="AT39" s="325"/>
      <c r="AU39" s="325"/>
      <c r="AV39" s="325"/>
      <c r="AW39" s="325"/>
      <c r="AX39"/>
      <c r="AY39" s="4"/>
      <c r="AZ39" s="4"/>
      <c r="BA39" s="4"/>
      <c r="BB39" s="4"/>
      <c r="BC39" s="4"/>
      <c r="BD39" s="4"/>
      <c r="BE39" s="11"/>
      <c r="BF39" s="313"/>
      <c r="BG39" s="318"/>
      <c r="BH39" s="318"/>
      <c r="BI39" s="318"/>
      <c r="BJ39" s="318"/>
      <c r="BK39" s="318"/>
      <c r="BL39" s="318"/>
      <c r="BM39" s="318"/>
      <c r="BN39" s="318"/>
      <c r="BO39" s="318"/>
      <c r="BP39" s="318"/>
      <c r="BQ39" s="318"/>
      <c r="BR39" s="318"/>
      <c r="BS39" s="318"/>
      <c r="BT39" s="318"/>
      <c r="BU39" s="318"/>
      <c r="BV39" s="318"/>
      <c r="BW39" s="318"/>
      <c r="BX39" s="318"/>
      <c r="BY39" s="318"/>
      <c r="BZ39" s="314"/>
      <c r="CA39" s="275"/>
      <c r="CB39" s="276"/>
      <c r="CC39" s="277"/>
    </row>
    <row r="40" s="27" customFormat="1" customHeight="1" spans="5:81">
      <c r="E40" s="292"/>
      <c r="F40" s="326" t="s">
        <v>100</v>
      </c>
      <c r="G40" s="327"/>
      <c r="H40" s="327"/>
      <c r="I40" s="305"/>
      <c r="J40" s="261"/>
      <c r="K40" s="29"/>
      <c r="L40" s="30"/>
      <c r="M40" s="30"/>
      <c r="N40" s="30"/>
      <c r="O40" s="30"/>
      <c r="P40" s="30"/>
      <c r="Q40" s="30"/>
      <c r="R40" s="30"/>
      <c r="S40" s="30"/>
      <c r="T40" s="29"/>
      <c r="U40" s="31"/>
      <c r="V40" s="31"/>
      <c r="W40" s="340"/>
      <c r="X40" s="354"/>
      <c r="Y40" s="356" t="s">
        <v>101</v>
      </c>
      <c r="Z40" s="357"/>
      <c r="AA40" s="357"/>
      <c r="AB40" s="357"/>
      <c r="AC40" s="358" t="s">
        <v>102</v>
      </c>
      <c r="AD40" s="358"/>
      <c r="AE40" s="358"/>
      <c r="AF40" s="359" t="s">
        <v>103</v>
      </c>
      <c r="AG40" s="359"/>
      <c r="AH40" s="359"/>
      <c r="AI40" s="359"/>
      <c r="AJ40" s="359"/>
      <c r="AK40" s="360" t="s">
        <v>104</v>
      </c>
      <c r="AL40" s="361"/>
      <c r="AM40" s="361"/>
      <c r="AN40" s="361"/>
      <c r="AO40" s="361"/>
      <c r="AP40" s="361"/>
      <c r="AQ40" s="361"/>
      <c r="AR40" s="361"/>
      <c r="AS40" s="361"/>
      <c r="AT40" s="361"/>
      <c r="AU40" s="361"/>
      <c r="AV40" s="361"/>
      <c r="AW40" s="362"/>
      <c r="AX40"/>
      <c r="AY40" s="4"/>
      <c r="AZ40" s="4"/>
      <c r="BA40" s="4"/>
      <c r="BB40" s="4"/>
      <c r="BC40" s="4"/>
      <c r="BD40" s="4"/>
      <c r="BE40" s="11"/>
      <c r="BF40" s="313"/>
      <c r="BG40" s="318"/>
      <c r="BH40" s="318"/>
      <c r="BI40" s="318"/>
      <c r="BJ40" s="318"/>
      <c r="BK40" s="318"/>
      <c r="BL40" s="318"/>
      <c r="BM40" s="318"/>
      <c r="BN40" s="318"/>
      <c r="BO40" s="318"/>
      <c r="BP40" s="318"/>
      <c r="BQ40" s="318"/>
      <c r="BR40" s="318"/>
      <c r="BS40" s="318"/>
      <c r="BT40" s="318"/>
      <c r="BU40" s="318"/>
      <c r="BV40" s="318"/>
      <c r="BW40" s="318"/>
      <c r="BX40" s="318"/>
      <c r="BY40" s="318"/>
      <c r="BZ40" s="314"/>
      <c r="CA40" s="275"/>
      <c r="CB40" s="276"/>
      <c r="CC40" s="277"/>
    </row>
    <row r="41" s="27" customFormat="1" customHeight="1" spans="5:81">
      <c r="E41" s="292"/>
      <c r="F41" s="328" t="s">
        <v>105</v>
      </c>
      <c r="G41" s="305"/>
      <c r="H41" s="305"/>
      <c r="I41" s="305"/>
      <c r="J41" s="261"/>
      <c r="K41" s="363" t="s">
        <v>106</v>
      </c>
      <c r="L41" s="363"/>
      <c r="M41" s="363"/>
      <c r="N41" s="363"/>
      <c r="O41" s="363"/>
      <c r="P41" s="363"/>
      <c r="Q41" s="363"/>
      <c r="R41" s="363"/>
      <c r="S41" s="363"/>
      <c r="T41" s="29"/>
      <c r="U41" s="31"/>
      <c r="V41" s="31"/>
      <c r="W41" s="340"/>
      <c r="X41" s="354"/>
      <c r="Y41" s="364"/>
      <c r="Z41" s="365"/>
      <c r="AA41" s="365"/>
      <c r="AB41" s="365"/>
      <c r="AC41" s="366"/>
      <c r="AD41" s="366"/>
      <c r="AE41" s="366"/>
      <c r="AF41" s="367" t="s">
        <v>107</v>
      </c>
      <c r="AG41" s="367" t="s">
        <v>108</v>
      </c>
      <c r="AH41" s="367"/>
      <c r="AI41" s="367"/>
      <c r="AJ41" s="368"/>
      <c r="AK41" s="369"/>
      <c r="AL41" s="370"/>
      <c r="AM41" s="370"/>
      <c r="AN41" s="370"/>
      <c r="AO41" s="370"/>
      <c r="AP41" s="370"/>
      <c r="AQ41" s="370"/>
      <c r="AR41" s="370"/>
      <c r="AS41" s="370"/>
      <c r="AT41" s="370"/>
      <c r="AU41" s="370"/>
      <c r="AV41" s="370"/>
      <c r="AW41" s="371"/>
      <c r="AX41"/>
      <c r="AY41" s="4"/>
      <c r="AZ41" s="4"/>
      <c r="BA41" s="4"/>
      <c r="BB41" s="4"/>
      <c r="BC41" s="4"/>
      <c r="BD41" s="4"/>
      <c r="BE41" s="11"/>
      <c r="BF41" s="313"/>
      <c r="BG41" s="318"/>
      <c r="BH41" s="318"/>
      <c r="BI41" s="318"/>
      <c r="BJ41" s="318"/>
      <c r="BK41" s="318"/>
      <c r="BL41" s="318"/>
      <c r="BM41" s="318"/>
      <c r="BN41" s="318"/>
      <c r="BO41" s="318"/>
      <c r="BP41" s="318"/>
      <c r="BQ41" s="318"/>
      <c r="BR41" s="318"/>
      <c r="BS41" s="318"/>
      <c r="BT41" s="318"/>
      <c r="BU41" s="318"/>
      <c r="BV41" s="318"/>
      <c r="BW41" s="318"/>
      <c r="BX41" s="318"/>
      <c r="BY41" s="318"/>
      <c r="BZ41" s="314"/>
      <c r="CA41" s="275"/>
      <c r="CB41" s="276"/>
      <c r="CC41" s="277"/>
    </row>
    <row r="42" s="27" customFormat="1" customHeight="1" spans="5:81">
      <c r="E42" s="330">
        <v>4.5</v>
      </c>
      <c r="F42" s="331" t="s">
        <v>109</v>
      </c>
      <c r="G42" s="332"/>
      <c r="H42" s="332"/>
      <c r="I42" s="305"/>
      <c r="J42" s="261"/>
      <c r="K42" s="363"/>
      <c r="L42" s="363"/>
      <c r="M42" s="363"/>
      <c r="N42" s="363"/>
      <c r="O42" s="363"/>
      <c r="P42" s="363"/>
      <c r="Q42" s="363"/>
      <c r="R42" s="363"/>
      <c r="S42" s="363"/>
      <c r="T42" s="29"/>
      <c r="U42" s="31"/>
      <c r="V42" s="31"/>
      <c r="W42" s="340"/>
      <c r="X42" s="354"/>
      <c r="Y42" s="372" t="s">
        <v>110</v>
      </c>
      <c r="Z42" s="373"/>
      <c r="AA42" s="373"/>
      <c r="AB42" s="373"/>
      <c r="AC42" s="374" t="s">
        <v>111</v>
      </c>
      <c r="AD42" s="374"/>
      <c r="AE42" s="374"/>
      <c r="AF42" s="375" t="s">
        <v>112</v>
      </c>
      <c r="AG42" s="375" t="s">
        <v>113</v>
      </c>
      <c r="AH42" s="375"/>
      <c r="AI42" s="375"/>
      <c r="AJ42" s="376"/>
      <c r="AK42" s="369"/>
      <c r="AL42" s="370"/>
      <c r="AM42" s="370"/>
      <c r="AN42" s="370"/>
      <c r="AO42" s="370"/>
      <c r="AP42" s="370"/>
      <c r="AQ42" s="370"/>
      <c r="AR42" s="370"/>
      <c r="AS42" s="370"/>
      <c r="AT42" s="370"/>
      <c r="AU42" s="370"/>
      <c r="AV42" s="370"/>
      <c r="AW42" s="371"/>
      <c r="AX42"/>
      <c r="AY42" s="4"/>
      <c r="AZ42" s="4"/>
      <c r="BA42" s="4"/>
      <c r="BB42" s="4"/>
      <c r="BC42" s="4"/>
      <c r="BD42" s="4"/>
      <c r="BE42" s="11"/>
      <c r="BF42" s="313"/>
      <c r="BG42" s="318"/>
      <c r="BH42" s="318"/>
      <c r="BI42" s="318"/>
      <c r="BJ42" s="318"/>
      <c r="BK42" s="318"/>
      <c r="BL42" s="318"/>
      <c r="BM42" s="318"/>
      <c r="BN42" s="318"/>
      <c r="BO42" s="318"/>
      <c r="BP42" s="318"/>
      <c r="BQ42" s="318"/>
      <c r="BR42" s="318"/>
      <c r="BS42" s="318"/>
      <c r="BT42" s="318"/>
      <c r="BU42" s="318"/>
      <c r="BV42" s="318"/>
      <c r="BW42" s="318"/>
      <c r="BX42" s="318"/>
      <c r="BY42" s="318"/>
      <c r="BZ42" s="314"/>
      <c r="CA42" s="275"/>
      <c r="CB42" s="276"/>
      <c r="CC42" s="277"/>
    </row>
    <row r="43" s="27" customFormat="1" customHeight="1" spans="5:81">
      <c r="F43" s="68"/>
      <c r="G43" s="68"/>
      <c r="H43" s="68"/>
      <c r="I43" s="68"/>
      <c r="J43" s="261"/>
      <c r="K43" s="363"/>
      <c r="L43" s="363"/>
      <c r="M43" s="363"/>
      <c r="N43" s="363"/>
      <c r="O43" s="363"/>
      <c r="P43" s="363"/>
      <c r="Q43" s="363"/>
      <c r="R43" s="363"/>
      <c r="S43" s="363"/>
      <c r="T43" s="29"/>
      <c r="U43" s="31"/>
      <c r="V43" s="31"/>
      <c r="W43" s="340"/>
      <c r="X43" s="354"/>
      <c r="Y43" s="372" t="s">
        <v>114</v>
      </c>
      <c r="Z43" s="373"/>
      <c r="AA43" s="373"/>
      <c r="AB43" s="373"/>
      <c r="AC43" s="374" t="s">
        <v>115</v>
      </c>
      <c r="AD43" s="374"/>
      <c r="AE43" s="374"/>
      <c r="AF43" s="375" t="s">
        <v>116</v>
      </c>
      <c r="AG43" s="375" t="s">
        <v>117</v>
      </c>
      <c r="AH43" s="375"/>
      <c r="AI43" s="375"/>
      <c r="AJ43" s="376"/>
      <c r="AK43" s="369"/>
      <c r="AL43" s="370"/>
      <c r="AM43" s="370"/>
      <c r="AN43" s="370"/>
      <c r="AO43" s="370"/>
      <c r="AP43" s="370"/>
      <c r="AQ43" s="370"/>
      <c r="AR43" s="370"/>
      <c r="AS43" s="370"/>
      <c r="AT43" s="370"/>
      <c r="AU43" s="370"/>
      <c r="AV43" s="370"/>
      <c r="AW43" s="371"/>
      <c r="AX43"/>
      <c r="AY43" s="4"/>
      <c r="AZ43" s="4"/>
      <c r="BA43" s="4"/>
      <c r="BB43" s="4"/>
      <c r="BC43" s="4"/>
      <c r="BD43" s="4"/>
      <c r="BE43" s="11"/>
      <c r="BF43" s="313"/>
      <c r="BG43" s="318"/>
      <c r="BH43" s="318"/>
      <c r="BI43" s="318"/>
      <c r="BJ43" s="318"/>
      <c r="BK43" s="318"/>
      <c r="BL43" s="318"/>
      <c r="BM43" s="318"/>
      <c r="BN43" s="318"/>
      <c r="BO43" s="318"/>
      <c r="BP43" s="318"/>
      <c r="BQ43" s="318"/>
      <c r="BR43" s="318"/>
      <c r="BS43" s="318"/>
      <c r="BT43" s="318"/>
      <c r="BU43" s="318"/>
      <c r="BV43" s="318"/>
      <c r="BW43" s="318"/>
      <c r="BX43" s="318"/>
      <c r="BY43" s="318"/>
      <c r="BZ43" s="314"/>
      <c r="CA43" s="275"/>
      <c r="CB43" s="276"/>
      <c r="CC43" s="277"/>
    </row>
    <row r="44" s="27" customFormat="1" customHeight="1" spans="5:81">
      <c r="E44" s="68"/>
      <c r="F44" s="68"/>
      <c r="G44" s="68"/>
      <c r="H44" s="68"/>
      <c r="I44" s="68"/>
      <c r="J44" s="261"/>
      <c r="K44" s="363"/>
      <c r="L44" s="363"/>
      <c r="M44" s="363"/>
      <c r="N44" s="363"/>
      <c r="O44" s="363"/>
      <c r="P44" s="363"/>
      <c r="Q44" s="363"/>
      <c r="R44" s="363"/>
      <c r="S44" s="363"/>
      <c r="T44" s="29"/>
      <c r="U44" s="31"/>
      <c r="V44" s="31"/>
      <c r="W44" s="340"/>
      <c r="X44" s="354"/>
      <c r="Y44" s="372" t="s">
        <v>118</v>
      </c>
      <c r="Z44" s="373"/>
      <c r="AA44" s="373"/>
      <c r="AB44" s="373"/>
      <c r="AC44" s="374" t="s">
        <v>119</v>
      </c>
      <c r="AD44" s="374"/>
      <c r="AE44" s="374"/>
      <c r="AF44" s="375" t="s">
        <v>120</v>
      </c>
      <c r="AG44" s="375" t="s">
        <v>121</v>
      </c>
      <c r="AH44" s="375"/>
      <c r="AI44" s="375"/>
      <c r="AJ44" s="375"/>
      <c r="AK44" s="377"/>
      <c r="AL44" s="377"/>
      <c r="AM44" s="377"/>
      <c r="AN44" s="377"/>
      <c r="AO44" s="377"/>
      <c r="AP44" s="377"/>
      <c r="AQ44" s="377"/>
      <c r="AR44" s="377"/>
      <c r="AS44" s="377"/>
      <c r="AT44" s="377"/>
      <c r="AU44" s="377"/>
      <c r="AV44" s="377"/>
      <c r="AW44" s="378"/>
      <c r="AX44"/>
      <c r="AY44" s="4"/>
      <c r="AZ44" s="4"/>
      <c r="BA44" s="4"/>
      <c r="BB44" s="4"/>
      <c r="BC44" s="4"/>
      <c r="BD44" s="4"/>
      <c r="BE44" s="11"/>
      <c r="BF44" s="313"/>
      <c r="BG44" s="318"/>
      <c r="BH44" s="318"/>
      <c r="BI44" s="318"/>
      <c r="BJ44" s="318"/>
      <c r="BK44" s="318"/>
      <c r="BL44" s="318"/>
      <c r="BM44" s="318"/>
      <c r="BN44" s="318"/>
      <c r="BO44" s="318"/>
      <c r="BP44" s="318"/>
      <c r="BQ44" s="318"/>
      <c r="BR44" s="318"/>
      <c r="BS44" s="318"/>
      <c r="BT44" s="318"/>
      <c r="BU44" s="318"/>
      <c r="BV44" s="318"/>
      <c r="BW44" s="318"/>
      <c r="BX44" s="318"/>
      <c r="BY44" s="318"/>
      <c r="BZ44" s="314"/>
      <c r="CA44" s="275"/>
      <c r="CB44" s="276"/>
      <c r="CC44" s="277"/>
    </row>
    <row r="45" s="27" customFormat="1" customHeight="1" spans="5:81">
      <c r="E45" s="68"/>
      <c r="F45" s="68"/>
      <c r="G45" s="68"/>
      <c r="H45" s="68"/>
      <c r="I45" s="68"/>
      <c r="J45" s="261"/>
      <c r="K45" s="379" t="s">
        <v>122</v>
      </c>
      <c r="L45" s="380" t="s">
        <v>123</v>
      </c>
      <c r="M45" s="381" t="s">
        <v>124</v>
      </c>
      <c r="N45" s="382"/>
      <c r="O45" s="382"/>
      <c r="P45" s="382"/>
      <c r="Q45" s="382"/>
      <c r="R45" s="382"/>
      <c r="S45" s="383"/>
      <c r="T45" s="45"/>
      <c r="U45" s="31"/>
      <c r="V45" s="31"/>
      <c r="W45" s="340"/>
      <c r="X45" s="384"/>
      <c r="Y45" s="385" t="s">
        <v>125</v>
      </c>
      <c r="Z45" s="386"/>
      <c r="AA45" s="386"/>
      <c r="AB45" s="386"/>
      <c r="AC45" s="387" t="s">
        <v>126</v>
      </c>
      <c r="AD45" s="387"/>
      <c r="AE45" s="387"/>
      <c r="AF45" s="388" t="s">
        <v>127</v>
      </c>
      <c r="AG45" s="388" t="s">
        <v>128</v>
      </c>
      <c r="AH45" s="388"/>
      <c r="AI45" s="388"/>
      <c r="AJ45" s="388"/>
      <c r="AK45" s="389"/>
      <c r="AL45" s="389"/>
      <c r="AM45" s="389"/>
      <c r="AN45" s="389"/>
      <c r="AO45" s="389"/>
      <c r="AP45" s="389"/>
      <c r="AQ45" s="389"/>
      <c r="AR45" s="389"/>
      <c r="AS45" s="389"/>
      <c r="AT45" s="389"/>
      <c r="AU45" s="389"/>
      <c r="AV45" s="389"/>
      <c r="AW45" s="390"/>
      <c r="AX45"/>
      <c r="AY45" s="4"/>
      <c r="AZ45" s="4"/>
      <c r="BA45" s="4"/>
      <c r="BB45" s="4"/>
      <c r="BC45" s="4"/>
      <c r="BD45" s="4"/>
      <c r="BE45" s="11"/>
      <c r="BF45" s="313"/>
      <c r="BG45" s="318"/>
      <c r="BH45" s="318"/>
      <c r="BI45" s="318"/>
      <c r="BJ45" s="318"/>
      <c r="BK45" s="318"/>
      <c r="BL45" s="318"/>
      <c r="BM45" s="318"/>
      <c r="BN45" s="318"/>
      <c r="BO45" s="318"/>
      <c r="BP45" s="318"/>
      <c r="BQ45" s="318"/>
      <c r="BR45" s="318"/>
      <c r="BS45" s="318"/>
      <c r="BT45" s="318"/>
      <c r="BU45" s="318"/>
      <c r="BV45" s="318"/>
      <c r="BW45" s="318"/>
      <c r="BX45" s="318"/>
      <c r="BY45" s="318"/>
      <c r="BZ45" s="314"/>
      <c r="CA45" s="275"/>
      <c r="CB45" s="276"/>
      <c r="CC45" s="277"/>
    </row>
    <row r="46" s="27" customFormat="1" customHeight="1" spans="5:81">
      <c r="E46" s="68"/>
      <c r="F46" s="68"/>
      <c r="G46" s="68"/>
      <c r="H46" s="68"/>
      <c r="I46" s="68"/>
      <c r="J46" s="261"/>
      <c r="K46" s="391"/>
      <c r="L46" s="392"/>
      <c r="M46" s="393"/>
      <c r="N46" s="394"/>
      <c r="O46" s="394"/>
      <c r="P46" s="394"/>
      <c r="Q46" s="394"/>
      <c r="R46" s="394"/>
      <c r="S46" s="395"/>
      <c r="T46" s="396"/>
      <c r="U46" s="31"/>
      <c r="V46" s="31"/>
      <c r="W46" s="340"/>
      <c r="X46" s="316">
        <v>14</v>
      </c>
      <c r="Y46" s="397" t="s">
        <v>129</v>
      </c>
      <c r="Z46" s="397"/>
      <c r="AA46" s="397"/>
      <c r="AB46" s="397"/>
      <c r="AC46" s="397"/>
      <c r="AD46" s="397"/>
      <c r="AE46" s="397"/>
      <c r="AF46" s="397"/>
      <c r="AG46" s="397"/>
      <c r="AH46" s="397"/>
      <c r="AI46" s="397"/>
      <c r="AJ46" s="397"/>
      <c r="AK46" s="397"/>
      <c r="AL46" s="397"/>
      <c r="AM46" s="397"/>
      <c r="AN46" s="397"/>
      <c r="AO46" s="397"/>
      <c r="AP46" s="397"/>
      <c r="AQ46" s="397"/>
      <c r="AR46" s="397"/>
      <c r="AS46" s="397"/>
      <c r="AT46" s="397"/>
      <c r="AU46" s="397"/>
      <c r="AV46" s="397"/>
      <c r="AW46" s="398"/>
      <c r="AX46"/>
      <c r="AY46" s="4"/>
      <c r="AZ46" s="4"/>
      <c r="BA46" s="4"/>
      <c r="BB46" s="4"/>
      <c r="BC46" s="4"/>
      <c r="BD46" s="4"/>
      <c r="BE46" s="11"/>
      <c r="BF46" s="313"/>
      <c r="BG46" s="318"/>
      <c r="BH46" s="318"/>
      <c r="BI46" s="318"/>
      <c r="BJ46" s="318"/>
      <c r="BK46" s="318"/>
      <c r="BL46" s="318"/>
      <c r="BM46" s="318"/>
      <c r="BN46" s="318"/>
      <c r="BO46" s="318"/>
      <c r="BP46" s="318"/>
      <c r="BQ46" s="318"/>
      <c r="BR46" s="318"/>
      <c r="BS46" s="318"/>
      <c r="BT46" s="318"/>
      <c r="BU46" s="318"/>
      <c r="BV46" s="318"/>
      <c r="BW46" s="318"/>
      <c r="BX46" s="318"/>
      <c r="BY46" s="318"/>
      <c r="BZ46" s="314"/>
      <c r="CA46" s="275"/>
      <c r="CB46" s="276"/>
      <c r="CC46" s="277"/>
    </row>
    <row r="47" s="27" customFormat="1" customHeight="1" spans="5:81">
      <c r="E47" s="68"/>
      <c r="F47" s="68"/>
      <c r="G47" s="68"/>
      <c r="H47" s="68"/>
      <c r="I47" s="68"/>
      <c r="J47" s="261"/>
      <c r="K47" s="391"/>
      <c r="L47" s="392"/>
      <c r="M47" s="393"/>
      <c r="N47" s="394"/>
      <c r="O47" s="394"/>
      <c r="P47" s="394"/>
      <c r="Q47" s="394"/>
      <c r="R47" s="394"/>
      <c r="S47" s="395"/>
      <c r="T47" s="396"/>
      <c r="U47" s="31"/>
      <c r="V47" s="31"/>
      <c r="W47" s="340"/>
      <c r="X47" s="320"/>
      <c r="Y47" s="399" t="s">
        <v>130</v>
      </c>
      <c r="Z47" s="399"/>
      <c r="AA47" s="399"/>
      <c r="AB47" s="399"/>
      <c r="AC47" s="399"/>
      <c r="AD47" s="399"/>
      <c r="AE47" s="399"/>
      <c r="AF47" s="399"/>
      <c r="AG47" s="399"/>
      <c r="AH47" s="399"/>
      <c r="AI47" s="399"/>
      <c r="AJ47" s="399"/>
      <c r="AK47" s="399"/>
      <c r="AL47" s="399"/>
      <c r="AM47" s="399"/>
      <c r="AN47" s="399"/>
      <c r="AO47" s="399"/>
      <c r="AP47" s="399"/>
      <c r="AQ47" s="399"/>
      <c r="AR47" s="399"/>
      <c r="AS47" s="399"/>
      <c r="AT47" s="399"/>
      <c r="AU47" s="399"/>
      <c r="AV47" s="399"/>
      <c r="AW47" s="400"/>
      <c r="AX47"/>
      <c r="AY47" s="4"/>
      <c r="AZ47" s="4"/>
      <c r="BA47" s="4"/>
      <c r="BB47" s="4"/>
      <c r="BC47" s="4"/>
      <c r="BD47" s="4"/>
      <c r="BE47" s="11"/>
      <c r="BF47" s="313"/>
      <c r="BG47" s="318"/>
      <c r="BH47" s="318"/>
      <c r="BI47" s="318"/>
      <c r="BJ47" s="318"/>
      <c r="BK47" s="318"/>
      <c r="BL47" s="318"/>
      <c r="BM47" s="318"/>
      <c r="BN47" s="318"/>
      <c r="BO47" s="318"/>
      <c r="BP47" s="318"/>
      <c r="BQ47" s="318"/>
      <c r="BR47" s="318"/>
      <c r="BS47" s="318"/>
      <c r="BT47" s="318"/>
      <c r="BU47" s="318"/>
      <c r="BV47" s="318"/>
      <c r="BW47" s="318"/>
      <c r="BX47" s="318"/>
      <c r="BY47" s="318"/>
      <c r="BZ47" s="314"/>
      <c r="CA47" s="275"/>
      <c r="CB47" s="276"/>
      <c r="CC47" s="277"/>
    </row>
    <row r="48" s="27" customFormat="1" customHeight="1" spans="5:81">
      <c r="E48" s="68"/>
      <c r="F48" s="68"/>
      <c r="G48" s="68"/>
      <c r="H48" s="401"/>
      <c r="I48" s="401"/>
      <c r="J48" s="261"/>
      <c r="K48" s="391"/>
      <c r="L48" s="392"/>
      <c r="M48" s="394"/>
      <c r="N48" s="394"/>
      <c r="O48" s="394"/>
      <c r="P48" s="394"/>
      <c r="Q48" s="394"/>
      <c r="R48" s="394"/>
      <c r="S48" s="395"/>
      <c r="T48" s="396"/>
      <c r="U48" s="31"/>
      <c r="V48" s="31"/>
      <c r="W48" s="306"/>
      <c r="X48" s="351"/>
      <c r="Y48" s="402" t="s">
        <v>131</v>
      </c>
      <c r="Z48" s="402"/>
      <c r="AA48" s="402"/>
      <c r="AB48" s="402"/>
      <c r="AC48" s="402"/>
      <c r="AD48" s="402"/>
      <c r="AE48" s="402"/>
      <c r="AF48" s="402"/>
      <c r="AG48" s="402"/>
      <c r="AH48" s="402"/>
      <c r="AI48" s="402"/>
      <c r="AJ48" s="402"/>
      <c r="AK48" s="402"/>
      <c r="AL48" s="402"/>
      <c r="AM48" s="402"/>
      <c r="AN48" s="402"/>
      <c r="AO48" s="402"/>
      <c r="AP48" s="402"/>
      <c r="AQ48" s="402"/>
      <c r="AR48" s="402"/>
      <c r="AS48" s="402"/>
      <c r="AT48" s="402"/>
      <c r="AU48" s="402"/>
      <c r="AV48" s="402"/>
      <c r="AW48" s="403"/>
      <c r="AX48"/>
      <c r="AY48" s="4"/>
      <c r="AZ48" s="4"/>
      <c r="BA48" s="4"/>
      <c r="BB48" s="4"/>
      <c r="BC48" s="4"/>
      <c r="BD48" s="4"/>
      <c r="BE48" s="11"/>
      <c r="BF48" s="313"/>
      <c r="BG48" s="318"/>
      <c r="BH48" s="318"/>
      <c r="BI48" s="318"/>
      <c r="BJ48" s="318"/>
      <c r="BK48" s="318"/>
      <c r="BL48" s="318"/>
      <c r="BM48" s="318"/>
      <c r="BN48" s="318"/>
      <c r="BO48" s="318"/>
      <c r="BP48" s="318"/>
      <c r="BQ48" s="318"/>
      <c r="BR48" s="318"/>
      <c r="BS48" s="318"/>
      <c r="BT48" s="318"/>
      <c r="BU48" s="318"/>
      <c r="BV48" s="318"/>
      <c r="BW48" s="318"/>
      <c r="BX48" s="318"/>
      <c r="BY48" s="318"/>
      <c r="BZ48" s="314"/>
      <c r="CA48" s="275"/>
      <c r="CB48" s="276"/>
      <c r="CC48" s="277"/>
    </row>
    <row r="49" s="27" customFormat="1" customHeight="1" spans="2:81">
      <c r="H49" s="401"/>
      <c r="I49" s="401"/>
      <c r="J49" s="261"/>
      <c r="K49" s="391"/>
      <c r="L49" s="404" t="s">
        <v>132</v>
      </c>
      <c r="M49" s="405" t="s">
        <v>133</v>
      </c>
      <c r="N49" s="405"/>
      <c r="O49" s="405"/>
      <c r="P49" s="405"/>
      <c r="Q49" s="405"/>
      <c r="R49" s="405"/>
      <c r="S49" s="406"/>
      <c r="T49" s="396"/>
      <c r="U49" s="31"/>
      <c r="V49" s="31"/>
      <c r="W49" s="407" t="s">
        <v>134</v>
      </c>
      <c r="X49" s="408">
        <v>16</v>
      </c>
      <c r="Y49" s="409" t="s">
        <v>135</v>
      </c>
      <c r="Z49" s="409"/>
      <c r="AA49" s="409"/>
      <c r="AB49" s="409"/>
      <c r="AC49" s="409"/>
      <c r="AD49" s="409"/>
      <c r="AE49" s="409"/>
      <c r="AF49" s="409"/>
      <c r="AG49" s="410" t="s">
        <v>136</v>
      </c>
      <c r="AH49" s="410"/>
      <c r="AI49" s="410"/>
      <c r="AJ49" s="410"/>
      <c r="AK49" s="410"/>
      <c r="AL49" s="410"/>
      <c r="AM49" s="410"/>
      <c r="AN49" s="410"/>
      <c r="AO49"/>
      <c r="AP49"/>
      <c r="AQ49"/>
      <c r="AR49"/>
      <c r="AS49"/>
      <c r="AT49"/>
      <c r="AU49"/>
      <c r="AV49"/>
      <c r="AW49"/>
      <c r="AX49"/>
      <c r="AY49" s="4"/>
      <c r="AZ49" s="4"/>
      <c r="BA49" s="4"/>
      <c r="BB49" s="4"/>
      <c r="BC49" s="4"/>
      <c r="BD49" s="4"/>
      <c r="BE49" s="11"/>
      <c r="BF49" s="313"/>
      <c r="BG49" s="318"/>
      <c r="BH49" s="318"/>
      <c r="BI49" s="318"/>
      <c r="BJ49" s="318"/>
      <c r="BK49" s="318"/>
      <c r="BL49" s="318"/>
      <c r="BM49" s="318"/>
      <c r="BN49" s="318"/>
      <c r="BO49" s="318"/>
      <c r="BP49" s="318"/>
      <c r="BQ49" s="318"/>
      <c r="BR49" s="318"/>
      <c r="BS49" s="318"/>
      <c r="BT49" s="318"/>
      <c r="BU49" s="318"/>
      <c r="BV49" s="318"/>
      <c r="BW49" s="318"/>
      <c r="BX49" s="318"/>
      <c r="BY49" s="318"/>
      <c r="BZ49" s="314"/>
      <c r="CA49" s="275"/>
      <c r="CB49" s="276"/>
      <c r="CC49" s="277"/>
    </row>
    <row r="50" s="27" customFormat="1" customHeight="1" spans="2:81">
      <c r="E50" s="31"/>
      <c r="F50" s="31"/>
      <c r="G50" s="31"/>
      <c r="H50" s="401"/>
      <c r="I50" s="401"/>
      <c r="J50" s="261"/>
      <c r="K50" s="391"/>
      <c r="L50" s="411"/>
      <c r="M50" s="412"/>
      <c r="N50" s="412"/>
      <c r="O50" s="412"/>
      <c r="P50" s="412"/>
      <c r="Q50" s="412"/>
      <c r="R50" s="412"/>
      <c r="S50" s="413"/>
      <c r="T50" s="396"/>
      <c r="U50" s="414"/>
      <c r="V50" s="31"/>
      <c r="W50" s="407"/>
      <c r="X50" s="408"/>
      <c r="Y50" s="409"/>
      <c r="Z50" s="409"/>
      <c r="AA50" s="409"/>
      <c r="AB50" s="409"/>
      <c r="AC50" s="409"/>
      <c r="AD50" s="409"/>
      <c r="AE50" s="409"/>
      <c r="AF50" s="409"/>
      <c r="AG50" s="415" t="s">
        <v>137</v>
      </c>
      <c r="AH50" s="415"/>
      <c r="AI50" s="415"/>
      <c r="AJ50" s="415"/>
      <c r="AK50" s="415"/>
      <c r="AL50" s="415"/>
      <c r="AM50" s="415"/>
      <c r="AN50" s="415"/>
      <c r="AO50" s="416" t="s">
        <v>138</v>
      </c>
      <c r="AP50" s="416"/>
      <c r="AQ50" s="416"/>
      <c r="AR50" s="416"/>
      <c r="AS50" s="416"/>
      <c r="AT50" s="416"/>
      <c r="AU50" s="416"/>
      <c r="AV50" s="416"/>
      <c r="AW50" s="416"/>
      <c r="AX50"/>
      <c r="AY50" s="4"/>
      <c r="AZ50" s="4"/>
      <c r="BA50" s="4"/>
      <c r="BB50" s="4"/>
      <c r="BC50" s="4"/>
      <c r="BD50" s="4"/>
      <c r="BE50" s="11"/>
      <c r="BF50" s="313"/>
      <c r="BG50" s="318"/>
      <c r="BH50" s="318"/>
      <c r="BI50" s="318"/>
      <c r="BJ50" s="318"/>
      <c r="BK50" s="318"/>
      <c r="BL50" s="318"/>
      <c r="BM50" s="318"/>
      <c r="BN50" s="318"/>
      <c r="BO50" s="318"/>
      <c r="BP50" s="318"/>
      <c r="BQ50" s="318"/>
      <c r="BR50" s="318"/>
      <c r="BS50" s="318"/>
      <c r="BT50" s="318"/>
      <c r="BU50" s="318"/>
      <c r="BV50" s="318"/>
      <c r="BW50" s="318"/>
      <c r="BX50" s="318"/>
      <c r="BY50" s="318"/>
      <c r="BZ50" s="314"/>
      <c r="CA50" s="275"/>
      <c r="CB50" s="276"/>
      <c r="CC50" s="277"/>
    </row>
    <row r="51" s="27" customFormat="1" customHeight="1" spans="2:81">
      <c r="H51" s="401"/>
      <c r="I51" s="401"/>
      <c r="J51" s="261"/>
      <c r="K51" s="391"/>
      <c r="L51" s="411"/>
      <c r="M51" s="417" t="s">
        <v>139</v>
      </c>
      <c r="N51" s="418" t="s">
        <v>140</v>
      </c>
      <c r="O51" s="419" t="s">
        <v>141</v>
      </c>
      <c r="P51" s="418" t="s">
        <v>142</v>
      </c>
      <c r="Q51" s="420" t="s">
        <v>143</v>
      </c>
      <c r="R51" s="418" t="s">
        <v>144</v>
      </c>
      <c r="S51" s="421" t="s">
        <v>145</v>
      </c>
      <c r="T51" s="396"/>
      <c r="U51" s="422" t="s">
        <v>146</v>
      </c>
      <c r="V51" s="31"/>
      <c r="W51" s="407"/>
      <c r="X51" s="408"/>
      <c r="Y51" s="409"/>
      <c r="Z51" s="409"/>
      <c r="AA51" s="409"/>
      <c r="AB51" s="409"/>
      <c r="AC51" s="409"/>
      <c r="AD51" s="409"/>
      <c r="AE51" s="409"/>
      <c r="AF51" s="409"/>
      <c r="AG51" s="415" t="s">
        <v>147</v>
      </c>
      <c r="AH51" s="415"/>
      <c r="AI51" s="415"/>
      <c r="AJ51" s="415"/>
      <c r="AK51" s="415"/>
      <c r="AL51" s="415"/>
      <c r="AM51" s="415"/>
      <c r="AN51" s="415"/>
      <c r="AO51" s="416"/>
      <c r="AP51" s="423"/>
      <c r="AQ51" s="423"/>
      <c r="AR51" s="423"/>
      <c r="AS51" s="423"/>
      <c r="AT51" s="423"/>
      <c r="AU51" s="423"/>
      <c r="AV51" s="423"/>
      <c r="AW51" s="423"/>
      <c r="AX51"/>
      <c r="AY51" s="4"/>
      <c r="AZ51" s="4"/>
      <c r="BA51" s="4"/>
      <c r="BB51" s="4"/>
      <c r="BC51" s="4"/>
      <c r="BD51" s="4"/>
      <c r="BE51" s="11"/>
      <c r="BF51" s="313"/>
      <c r="BG51" s="318"/>
      <c r="BH51" s="318"/>
      <c r="BI51" s="318"/>
      <c r="BJ51" s="318"/>
      <c r="BK51" s="318"/>
      <c r="BL51" s="318"/>
      <c r="BM51" s="318"/>
      <c r="BN51" s="318"/>
      <c r="BO51" s="318"/>
      <c r="BP51" s="318"/>
      <c r="BQ51" s="318"/>
      <c r="BR51" s="318"/>
      <c r="BS51" s="318"/>
      <c r="BT51" s="318"/>
      <c r="BU51" s="318"/>
      <c r="BV51" s="318"/>
      <c r="BW51" s="318"/>
      <c r="BX51" s="318"/>
      <c r="BY51" s="318"/>
      <c r="BZ51" s="314"/>
      <c r="CA51" s="275"/>
      <c r="CB51" s="276"/>
      <c r="CC51" s="277"/>
    </row>
    <row r="52" s="27" customFormat="1" customHeight="1" spans="2:81">
      <c r="H52" s="401"/>
      <c r="I52" s="401"/>
      <c r="J52" s="261"/>
      <c r="K52" s="391"/>
      <c r="L52" s="411"/>
      <c r="M52" s="424"/>
      <c r="N52" s="418"/>
      <c r="O52" s="419"/>
      <c r="P52" s="418"/>
      <c r="Q52" s="419"/>
      <c r="R52" s="418"/>
      <c r="S52" s="425"/>
      <c r="T52" s="396"/>
      <c r="U52" s="422"/>
      <c r="V52" s="422"/>
      <c r="W52" s="407"/>
      <c r="X52" s="408"/>
      <c r="Y52" s="409"/>
      <c r="Z52" s="409"/>
      <c r="AA52" s="409"/>
      <c r="AB52" s="409"/>
      <c r="AC52" s="409"/>
      <c r="AD52" s="409"/>
      <c r="AE52" s="409"/>
      <c r="AF52" s="409"/>
      <c r="AG52" s="415" t="s">
        <v>148</v>
      </c>
      <c r="AH52" s="415"/>
      <c r="AI52" s="415"/>
      <c r="AJ52" s="415"/>
      <c r="AK52" s="415"/>
      <c r="AL52" s="415"/>
      <c r="AM52" s="415"/>
      <c r="AN52" s="415"/>
      <c r="AO52" s="416"/>
      <c r="AP52" s="416"/>
      <c r="AQ52" s="416"/>
      <c r="AR52" s="416"/>
      <c r="AS52" s="416"/>
      <c r="AT52" s="416"/>
      <c r="AU52" s="416"/>
      <c r="AV52" s="416"/>
      <c r="AW52" s="416"/>
      <c r="AX52"/>
      <c r="AY52" s="4"/>
      <c r="AZ52" s="4"/>
      <c r="BA52" s="4"/>
      <c r="BB52" s="4"/>
      <c r="BC52" s="4"/>
      <c r="BD52" s="4"/>
      <c r="BE52" s="11"/>
      <c r="BF52" s="313"/>
      <c r="BG52" s="318"/>
      <c r="BH52" s="318"/>
      <c r="BI52" s="318"/>
      <c r="BJ52" s="318"/>
      <c r="BK52" s="318"/>
      <c r="BL52" s="318"/>
      <c r="BM52" s="318"/>
      <c r="BN52" s="318"/>
      <c r="BO52" s="318"/>
      <c r="BP52" s="318"/>
      <c r="BQ52" s="318"/>
      <c r="BR52" s="318"/>
      <c r="BS52" s="318"/>
      <c r="BT52" s="318"/>
      <c r="BU52" s="318"/>
      <c r="BV52" s="318"/>
      <c r="BW52" s="318"/>
      <c r="BX52" s="318"/>
      <c r="BY52" s="318"/>
      <c r="BZ52" s="314"/>
      <c r="CA52" s="275"/>
      <c r="CB52" s="276"/>
      <c r="CC52" s="277"/>
    </row>
    <row r="53" s="27" customFormat="1" customHeight="1" spans="2:81">
      <c r="H53" s="401"/>
      <c r="I53" s="401"/>
      <c r="J53" s="261"/>
      <c r="K53" s="391"/>
      <c r="L53" s="411"/>
      <c r="M53" s="424"/>
      <c r="N53" s="418" t="s">
        <v>149</v>
      </c>
      <c r="O53" s="419" t="s">
        <v>150</v>
      </c>
      <c r="P53" s="426"/>
      <c r="Q53" s="419"/>
      <c r="R53" s="418" t="s">
        <v>144</v>
      </c>
      <c r="S53" s="421" t="s">
        <v>151</v>
      </c>
      <c r="T53" s="427"/>
      <c r="U53" s="422"/>
      <c r="V53" s="422"/>
      <c r="W53" s="407"/>
      <c r="X53" s="408"/>
      <c r="Y53" s="409"/>
      <c r="Z53" s="409"/>
      <c r="AA53" s="409"/>
      <c r="AB53" s="409"/>
      <c r="AC53" s="409"/>
      <c r="AD53" s="409"/>
      <c r="AE53" s="409"/>
      <c r="AF53" s="409"/>
      <c r="AG53" s="624" t="s">
        <v>152</v>
      </c>
      <c r="AH53" s="428"/>
      <c r="AI53" s="428"/>
      <c r="AJ53" s="428"/>
      <c r="AK53" s="428"/>
      <c r="AL53" s="428"/>
      <c r="AM53" s="428"/>
      <c r="AN53" s="428"/>
      <c r="AO53" s="429" t="s">
        <v>153</v>
      </c>
      <c r="AP53" s="429"/>
      <c r="AQ53" s="429"/>
      <c r="AR53" s="429"/>
      <c r="AS53" s="429"/>
      <c r="AT53" s="429"/>
      <c r="AU53" s="429"/>
      <c r="AV53" s="429"/>
      <c r="AW53" s="429"/>
      <c r="AX53"/>
      <c r="AY53" s="4"/>
      <c r="AZ53" s="4"/>
      <c r="BA53" s="4"/>
      <c r="BB53" s="4"/>
      <c r="BC53" s="4"/>
      <c r="BD53" s="4"/>
      <c r="BE53" s="11"/>
      <c r="BF53" s="313"/>
      <c r="BG53" s="318"/>
      <c r="BH53" s="318"/>
      <c r="BI53" s="318"/>
      <c r="BJ53" s="318"/>
      <c r="BK53" s="318"/>
      <c r="BL53" s="318"/>
      <c r="BM53" s="318"/>
      <c r="BN53" s="318"/>
      <c r="BO53" s="318"/>
      <c r="BP53" s="318"/>
      <c r="BQ53" s="318"/>
      <c r="BR53" s="318"/>
      <c r="BS53" s="318"/>
      <c r="BT53" s="318"/>
      <c r="BU53" s="318"/>
      <c r="BV53" s="318"/>
      <c r="BW53" s="318"/>
      <c r="BX53" s="318"/>
      <c r="BY53" s="318"/>
      <c r="BZ53" s="314"/>
      <c r="CA53" s="275"/>
      <c r="CB53" s="276"/>
      <c r="CC53" s="277"/>
    </row>
    <row r="54" s="27" customFormat="1" customHeight="1" spans="2:81">
      <c r="E54" s="430"/>
      <c r="F54" s="430"/>
      <c r="G54" s="430"/>
      <c r="H54" s="401"/>
      <c r="I54" s="401"/>
      <c r="J54" s="261"/>
      <c r="K54" s="391"/>
      <c r="L54" s="411"/>
      <c r="M54" s="424"/>
      <c r="N54" s="418"/>
      <c r="O54" s="419"/>
      <c r="P54" s="426"/>
      <c r="Q54" s="419"/>
      <c r="R54" s="418"/>
      <c r="S54" s="425"/>
      <c r="T54" s="427"/>
      <c r="U54" s="422"/>
      <c r="V54" s="422"/>
      <c r="W54" s="407"/>
      <c r="X54" s="408"/>
      <c r="Y54" s="409"/>
      <c r="Z54" s="409"/>
      <c r="AA54" s="409"/>
      <c r="AB54" s="409"/>
      <c r="AC54" s="409"/>
      <c r="AD54" s="409"/>
      <c r="AE54" s="409"/>
      <c r="AF54" s="409"/>
      <c r="AG54" s="625" t="s">
        <v>154</v>
      </c>
      <c r="AH54" s="410"/>
      <c r="AI54" s="410"/>
      <c r="AJ54" s="410"/>
      <c r="AK54" s="410"/>
      <c r="AL54" s="410"/>
      <c r="AM54" s="410"/>
      <c r="AN54" s="410"/>
      <c r="AO54" s="429"/>
      <c r="AP54" s="370"/>
      <c r="AQ54" s="370"/>
      <c r="AR54" s="370"/>
      <c r="AS54" s="370"/>
      <c r="AT54" s="370"/>
      <c r="AU54" s="370"/>
      <c r="AV54" s="370"/>
      <c r="AW54" s="370"/>
      <c r="AX54"/>
      <c r="AY54" s="4"/>
      <c r="AZ54" s="4"/>
      <c r="BA54" s="4"/>
      <c r="BB54" s="4"/>
      <c r="BC54" s="4"/>
      <c r="BD54" s="4"/>
      <c r="BE54" s="11"/>
      <c r="BF54" s="313"/>
      <c r="BG54" s="318"/>
      <c r="BH54" s="318"/>
      <c r="BI54" s="318"/>
      <c r="BJ54" s="318"/>
      <c r="BK54" s="318"/>
      <c r="BL54" s="318"/>
      <c r="BM54" s="318"/>
      <c r="BN54" s="318"/>
      <c r="BO54" s="318"/>
      <c r="BP54" s="318"/>
      <c r="BQ54" s="318"/>
      <c r="BR54" s="318"/>
      <c r="BS54" s="318"/>
      <c r="BT54" s="318"/>
      <c r="BU54" s="318"/>
      <c r="BV54" s="318"/>
      <c r="BW54" s="318"/>
      <c r="BX54" s="318"/>
      <c r="BY54" s="318"/>
      <c r="BZ54" s="314"/>
      <c r="CA54" s="275"/>
      <c r="CB54" s="276"/>
      <c r="CC54" s="277"/>
    </row>
    <row r="55" s="27" customFormat="1" customHeight="1" spans="2:81">
      <c r="E55" s="430"/>
      <c r="F55" s="430"/>
      <c r="G55" s="430"/>
      <c r="H55" s="401"/>
      <c r="I55" s="401"/>
      <c r="J55" s="261"/>
      <c r="K55" s="391"/>
      <c r="L55" s="411"/>
      <c r="M55" s="424"/>
      <c r="N55" s="431" t="s">
        <v>155</v>
      </c>
      <c r="O55" s="432" t="s">
        <v>156</v>
      </c>
      <c r="P55" s="432"/>
      <c r="Q55" s="432"/>
      <c r="R55" s="432"/>
      <c r="S55" s="433"/>
      <c r="T55" s="427"/>
      <c r="U55" s="422"/>
      <c r="V55" s="422"/>
      <c r="W55" s="407"/>
      <c r="X55" s="408"/>
      <c r="Y55" s="409"/>
      <c r="Z55" s="409"/>
      <c r="AA55" s="409"/>
      <c r="AB55" s="409"/>
      <c r="AC55" s="409"/>
      <c r="AD55" s="409"/>
      <c r="AE55" s="409"/>
      <c r="AF55" s="409"/>
      <c r="AG55" s="624" t="s">
        <v>157</v>
      </c>
      <c r="AH55" s="428"/>
      <c r="AI55" s="428"/>
      <c r="AJ55" s="428"/>
      <c r="AK55" s="428"/>
      <c r="AL55" s="428"/>
      <c r="AM55" s="428"/>
      <c r="AN55" s="428"/>
      <c r="AO55" s="429"/>
      <c r="AP55" s="370"/>
      <c r="AQ55" s="370"/>
      <c r="AR55" s="370"/>
      <c r="AS55" s="370"/>
      <c r="AT55" s="370"/>
      <c r="AU55" s="370"/>
      <c r="AV55" s="370"/>
      <c r="AW55" s="370"/>
      <c r="AX55"/>
      <c r="AY55" s="4"/>
      <c r="AZ55" s="4"/>
      <c r="BA55" s="4"/>
      <c r="BB55" s="4"/>
      <c r="BC55" s="4"/>
      <c r="BD55" s="4"/>
      <c r="BE55" s="11"/>
      <c r="BF55" s="313"/>
      <c r="BG55" s="318"/>
      <c r="BH55" s="318"/>
      <c r="BI55" s="318"/>
      <c r="BJ55" s="318"/>
      <c r="BK55" s="318"/>
      <c r="BL55" s="318"/>
      <c r="BM55" s="318"/>
      <c r="BN55" s="318"/>
      <c r="BO55" s="318"/>
      <c r="BP55" s="318"/>
      <c r="BQ55" s="318"/>
      <c r="BR55" s="318"/>
      <c r="BS55" s="318"/>
      <c r="BT55" s="318"/>
      <c r="BU55" s="318"/>
      <c r="BV55" s="318"/>
      <c r="BW55" s="318"/>
      <c r="BX55" s="318"/>
      <c r="BY55" s="318"/>
      <c r="BZ55" s="314"/>
      <c r="CA55" s="275"/>
      <c r="CB55" s="276"/>
      <c r="CC55" s="277"/>
    </row>
    <row r="56" s="27" customFormat="1" customHeight="1" spans="2:81">
      <c r="E56" s="430"/>
      <c r="F56" s="430"/>
      <c r="G56" s="430"/>
      <c r="H56" s="401"/>
      <c r="I56" s="401"/>
      <c r="J56" s="261"/>
      <c r="K56" s="434" t="s">
        <v>158</v>
      </c>
      <c r="L56" s="435"/>
      <c r="M56" s="435"/>
      <c r="N56" s="435"/>
      <c r="O56" s="435"/>
      <c r="P56" s="435"/>
      <c r="Q56" s="435"/>
      <c r="R56" s="435"/>
      <c r="S56" s="436"/>
      <c r="T56" s="427"/>
      <c r="U56" s="422"/>
      <c r="V56" s="422"/>
      <c r="W56" s="407"/>
      <c r="X56" s="408"/>
      <c r="Y56" s="409"/>
      <c r="Z56" s="409"/>
      <c r="AA56" s="409"/>
      <c r="AB56" s="409"/>
      <c r="AC56" s="409"/>
      <c r="AD56" s="409"/>
      <c r="AE56" s="409"/>
      <c r="AF56" s="409"/>
      <c r="AG56" s="428" t="s">
        <v>159</v>
      </c>
      <c r="AH56" s="428"/>
      <c r="AI56" s="428"/>
      <c r="AJ56" s="428"/>
      <c r="AK56" s="428"/>
      <c r="AL56" s="428"/>
      <c r="AM56" s="428"/>
      <c r="AN56" s="428"/>
      <c r="AO56" s="429"/>
      <c r="AP56" s="370"/>
      <c r="AQ56" s="370"/>
      <c r="AR56" s="370"/>
      <c r="AS56" s="370"/>
      <c r="AT56" s="370"/>
      <c r="AU56" s="370"/>
      <c r="AV56" s="370"/>
      <c r="AW56" s="370"/>
      <c r="AX56"/>
      <c r="AY56" s="4"/>
      <c r="AZ56" s="4"/>
      <c r="BA56" s="4"/>
      <c r="BB56" s="4"/>
      <c r="BC56" s="4"/>
      <c r="BD56" s="4"/>
      <c r="BE56" s="11"/>
      <c r="BF56" s="313"/>
      <c r="BG56" s="318"/>
      <c r="BH56" s="318"/>
      <c r="BI56" s="318"/>
      <c r="BJ56" s="318"/>
      <c r="BK56" s="318"/>
      <c r="BL56" s="318"/>
      <c r="BM56" s="318"/>
      <c r="BN56" s="318"/>
      <c r="BO56" s="318"/>
      <c r="BP56" s="318"/>
      <c r="BQ56" s="318"/>
      <c r="BR56" s="318"/>
      <c r="BS56" s="318"/>
      <c r="BT56" s="318"/>
      <c r="BU56" s="318"/>
      <c r="BV56" s="318"/>
      <c r="BW56" s="318"/>
      <c r="BX56" s="318"/>
      <c r="BY56" s="318"/>
      <c r="BZ56" s="314"/>
      <c r="CA56" s="275"/>
      <c r="CB56" s="276"/>
      <c r="CC56" s="277"/>
    </row>
    <row r="57" s="27" customFormat="1" customHeight="1" spans="2:81">
      <c r="H57" s="401"/>
      <c r="I57" s="401"/>
      <c r="J57" s="261"/>
      <c r="K57" s="437"/>
      <c r="L57" s="438"/>
      <c r="M57" s="438"/>
      <c r="N57" s="438"/>
      <c r="O57" s="438"/>
      <c r="P57" s="438"/>
      <c r="Q57" s="438"/>
      <c r="R57" s="438"/>
      <c r="S57" s="439"/>
      <c r="T57" s="427"/>
      <c r="U57" s="422"/>
      <c r="V57" s="422"/>
      <c r="W57" s="407"/>
      <c r="X57" s="408"/>
      <c r="Y57" s="409"/>
      <c r="Z57" s="409"/>
      <c r="AA57" s="409"/>
      <c r="AB57" s="409"/>
      <c r="AC57" s="409"/>
      <c r="AD57" s="409"/>
      <c r="AE57" s="409"/>
      <c r="AF57" s="409"/>
      <c r="AG57" s="410" t="s">
        <v>160</v>
      </c>
      <c r="AH57" s="410"/>
      <c r="AI57" s="410"/>
      <c r="AJ57" s="410"/>
      <c r="AK57" s="410"/>
      <c r="AL57" s="410"/>
      <c r="AM57" s="410"/>
      <c r="AN57" s="410"/>
      <c r="AO57" s="429"/>
      <c r="AP57" s="429"/>
      <c r="AQ57" s="429"/>
      <c r="AR57" s="429"/>
      <c r="AS57" s="429"/>
      <c r="AT57" s="429"/>
      <c r="AU57" s="429"/>
      <c r="AV57" s="429"/>
      <c r="AW57" s="429"/>
      <c r="AX57"/>
      <c r="AY57" s="4"/>
      <c r="AZ57" s="4"/>
      <c r="BA57" s="4"/>
      <c r="BB57" s="4"/>
      <c r="BC57" s="4"/>
      <c r="BD57" s="4"/>
      <c r="BE57" s="11"/>
      <c r="BF57" s="313"/>
      <c r="BG57" s="318"/>
      <c r="BH57" s="318"/>
      <c r="BI57" s="318"/>
      <c r="BJ57" s="318"/>
      <c r="BK57" s="318"/>
      <c r="BL57" s="318"/>
      <c r="BM57" s="318"/>
      <c r="BN57" s="318"/>
      <c r="BO57" s="318"/>
      <c r="BP57" s="318"/>
      <c r="BQ57" s="318"/>
      <c r="BR57" s="318"/>
      <c r="BS57" s="318"/>
      <c r="BT57" s="318"/>
      <c r="BU57" s="318"/>
      <c r="BV57" s="318"/>
      <c r="BW57" s="318"/>
      <c r="BX57" s="318"/>
      <c r="BY57" s="318"/>
      <c r="BZ57" s="314"/>
      <c r="CA57" s="275"/>
      <c r="CB57" s="276"/>
      <c r="CC57" s="277"/>
    </row>
    <row r="58" s="27" customFormat="1" customHeight="1" spans="2:81">
      <c r="E58" s="440"/>
      <c r="F58" s="440"/>
      <c r="G58" s="440"/>
      <c r="H58" s="401"/>
      <c r="I58" s="401"/>
      <c r="J58" s="261"/>
      <c r="K58" s="437"/>
      <c r="L58" s="438"/>
      <c r="M58" s="438"/>
      <c r="N58" s="438"/>
      <c r="O58" s="438"/>
      <c r="P58" s="438"/>
      <c r="Q58" s="438"/>
      <c r="R58" s="438"/>
      <c r="S58" s="439"/>
      <c r="T58" s="427"/>
      <c r="U58" s="422"/>
      <c r="V58" s="422"/>
      <c r="W58" s="407"/>
      <c r="X58" s="441"/>
      <c r="Y58" s="262" t="s">
        <v>161</v>
      </c>
      <c r="Z58" s="262"/>
      <c r="AA58" s="262"/>
      <c r="AB58" s="262"/>
      <c r="AC58" s="262"/>
      <c r="AD58" s="262"/>
      <c r="AE58" s="262"/>
      <c r="AF58" s="262"/>
      <c r="AG58" s="262"/>
      <c r="AH58" s="262"/>
      <c r="AI58" s="262"/>
      <c r="AJ58" s="262"/>
      <c r="AK58" s="262"/>
      <c r="AL58" s="262"/>
      <c r="AM58" s="262"/>
      <c r="AN58" s="262"/>
      <c r="AO58" s="262"/>
      <c r="AP58" s="262"/>
      <c r="AQ58" s="262"/>
      <c r="AR58" s="262"/>
      <c r="AS58" s="262"/>
      <c r="AT58" s="262"/>
      <c r="AU58" s="262"/>
      <c r="AV58" s="262"/>
      <c r="AW58" s="262"/>
      <c r="AX58"/>
      <c r="AY58" s="442" t="s">
        <v>162</v>
      </c>
      <c r="AZ58" s="442"/>
      <c r="BA58" s="442"/>
      <c r="BB58" s="442"/>
      <c r="BC58" s="442"/>
      <c r="BD58" s="442"/>
      <c r="BE58" s="11"/>
      <c r="BF58" s="313"/>
      <c r="BG58" s="318"/>
      <c r="BH58" s="318"/>
      <c r="BI58" s="318"/>
      <c r="BJ58" s="318"/>
      <c r="BK58" s="318"/>
      <c r="BL58" s="318"/>
      <c r="BM58" s="318"/>
      <c r="BN58" s="318"/>
      <c r="BO58" s="318"/>
      <c r="BP58" s="318"/>
      <c r="BQ58" s="318"/>
      <c r="BR58" s="318"/>
      <c r="BS58" s="318"/>
      <c r="BT58" s="318"/>
      <c r="BU58" s="318"/>
      <c r="BV58" s="318"/>
      <c r="BW58" s="318"/>
      <c r="BX58" s="318"/>
      <c r="BY58" s="318"/>
      <c r="BZ58" s="314"/>
      <c r="CA58" s="275"/>
      <c r="CB58" s="276"/>
      <c r="CC58" s="277"/>
    </row>
    <row r="59" s="27" customFormat="1" customHeight="1" spans="2:81">
      <c r="E59" s="440"/>
      <c r="F59" s="440"/>
      <c r="G59" s="440"/>
      <c r="H59" s="401"/>
      <c r="I59" s="401"/>
      <c r="J59" s="261"/>
      <c r="K59" s="437"/>
      <c r="L59" s="438"/>
      <c r="M59" s="438"/>
      <c r="N59" s="438"/>
      <c r="O59" s="438"/>
      <c r="P59" s="438"/>
      <c r="Q59" s="438"/>
      <c r="R59" s="438"/>
      <c r="S59" s="439"/>
      <c r="T59" s="443"/>
      <c r="U59" s="422"/>
      <c r="V59" s="422"/>
      <c r="W59" s="407"/>
      <c r="X59" s="320"/>
      <c r="Y59" s="298" t="s">
        <v>163</v>
      </c>
      <c r="Z59" s="298"/>
      <c r="AA59" s="298"/>
      <c r="AB59" s="298"/>
      <c r="AC59" s="298"/>
      <c r="AD59" s="298"/>
      <c r="AE59" s="298"/>
      <c r="AF59" s="298"/>
      <c r="AG59" s="298"/>
      <c r="AH59" s="298"/>
      <c r="AI59" s="298"/>
      <c r="AJ59" s="298"/>
      <c r="AK59" s="298"/>
      <c r="AL59" s="298"/>
      <c r="AM59" s="298"/>
      <c r="AN59" s="298"/>
      <c r="AO59" s="298"/>
      <c r="AP59" s="298"/>
      <c r="AQ59" s="298"/>
      <c r="AR59" s="298"/>
      <c r="AS59" s="298"/>
      <c r="AT59" s="298"/>
      <c r="AU59" s="298"/>
      <c r="AV59" s="298"/>
      <c r="AW59" s="298"/>
      <c r="AX59"/>
      <c r="AY59" s="444"/>
      <c r="AZ59" s="444"/>
      <c r="BA59" s="444"/>
      <c r="BB59" s="444"/>
      <c r="BC59" s="444"/>
      <c r="BD59" s="444"/>
      <c r="BE59" s="11"/>
      <c r="BF59" s="313"/>
      <c r="BG59" s="318"/>
      <c r="BH59" s="318"/>
      <c r="BI59" s="318"/>
      <c r="BJ59" s="318"/>
      <c r="BK59" s="318"/>
      <c r="BL59" s="318"/>
      <c r="BM59" s="318"/>
      <c r="BN59" s="318"/>
      <c r="BO59" s="318"/>
      <c r="BP59" s="318"/>
      <c r="BQ59" s="318"/>
      <c r="BR59" s="318"/>
      <c r="BS59" s="318"/>
      <c r="BT59" s="318"/>
      <c r="BU59" s="318"/>
      <c r="BV59" s="318"/>
      <c r="BW59" s="318"/>
      <c r="BX59" s="318"/>
      <c r="BY59" s="318"/>
      <c r="BZ59" s="314"/>
      <c r="CA59" s="275"/>
      <c r="CB59" s="276"/>
      <c r="CC59" s="277"/>
    </row>
    <row r="60" s="27" customFormat="1" customHeight="1" spans="2:81">
      <c r="E60" s="440"/>
      <c r="F60" s="440"/>
      <c r="G60" s="440"/>
      <c r="H60" s="401"/>
      <c r="I60" s="401"/>
      <c r="J60" s="261"/>
      <c r="K60" s="437"/>
      <c r="L60" s="438"/>
      <c r="M60" s="438"/>
      <c r="N60" s="438"/>
      <c r="O60" s="438"/>
      <c r="P60" s="438"/>
      <c r="Q60" s="438"/>
      <c r="R60" s="438"/>
      <c r="S60" s="439"/>
      <c r="T60" s="396"/>
      <c r="U60" s="422"/>
      <c r="V60" s="422"/>
      <c r="W60" s="407"/>
      <c r="X60" s="441"/>
      <c r="Y60" s="298" t="s">
        <v>164</v>
      </c>
      <c r="Z60" s="298"/>
      <c r="AA60" s="298"/>
      <c r="AB60" s="298"/>
      <c r="AC60" s="298"/>
      <c r="AD60" s="298"/>
      <c r="AE60" s="298"/>
      <c r="AF60" s="298"/>
      <c r="AG60" s="298"/>
      <c r="AH60" s="298"/>
      <c r="AI60" s="298"/>
      <c r="AJ60" s="298"/>
      <c r="AK60" s="298"/>
      <c r="AL60" s="298"/>
      <c r="AM60" s="298"/>
      <c r="AN60" s="298"/>
      <c r="AO60" s="298"/>
      <c r="AP60" s="298"/>
      <c r="AQ60" s="298"/>
      <c r="AR60" s="298"/>
      <c r="AS60" s="298"/>
      <c r="AT60" s="298"/>
      <c r="AU60" s="298"/>
      <c r="AV60" s="298"/>
      <c r="AW60" s="298"/>
      <c r="AX60"/>
      <c r="AY60" s="444"/>
      <c r="AZ60" s="444"/>
      <c r="BA60" s="444"/>
      <c r="BB60" s="444"/>
      <c r="BC60" s="444"/>
      <c r="BD60" s="444"/>
      <c r="BE60" s="11"/>
      <c r="BF60" s="313"/>
      <c r="BG60" s="318"/>
      <c r="BH60" s="318"/>
      <c r="BI60" s="318"/>
      <c r="BJ60" s="318"/>
      <c r="BK60" s="318"/>
      <c r="BL60" s="318"/>
      <c r="BM60" s="318"/>
      <c r="BN60" s="318"/>
      <c r="BO60" s="318"/>
      <c r="BP60" s="318"/>
      <c r="BQ60" s="318"/>
      <c r="BR60" s="318"/>
      <c r="BS60" s="318"/>
      <c r="BT60" s="318"/>
      <c r="BU60" s="318"/>
      <c r="BV60" s="318"/>
      <c r="BW60" s="318"/>
      <c r="BX60" s="318"/>
      <c r="BY60" s="318"/>
      <c r="BZ60" s="314"/>
      <c r="CA60" s="275"/>
      <c r="CB60" s="276"/>
      <c r="CC60" s="277"/>
    </row>
    <row r="61" s="27" customFormat="1" customHeight="1" spans="2:81">
      <c r="E61" s="440"/>
      <c r="F61" s="440"/>
      <c r="G61" s="440"/>
      <c r="H61" s="401"/>
      <c r="I61" s="401"/>
      <c r="J61" s="261"/>
      <c r="K61" s="437"/>
      <c r="L61" s="438"/>
      <c r="M61" s="438"/>
      <c r="N61" s="438"/>
      <c r="O61" s="438"/>
      <c r="P61" s="438"/>
      <c r="Q61" s="438"/>
      <c r="R61" s="438"/>
      <c r="S61" s="439"/>
      <c r="T61" s="396"/>
      <c r="U61" s="422"/>
      <c r="V61" s="422"/>
      <c r="W61" s="407"/>
      <c r="X61" s="441"/>
      <c r="Y61" s="445" t="s">
        <v>165</v>
      </c>
      <c r="Z61" s="445"/>
      <c r="AA61" s="445"/>
      <c r="AB61" s="445"/>
      <c r="AC61" s="445"/>
      <c r="AD61" s="445"/>
      <c r="AE61" s="445"/>
      <c r="AF61" s="445"/>
      <c r="AG61" s="445"/>
      <c r="AH61" s="445"/>
      <c r="AI61" s="445"/>
      <c r="AJ61" s="445"/>
      <c r="AK61" s="445"/>
      <c r="AL61" s="445"/>
      <c r="AM61" s="445"/>
      <c r="AN61" s="445"/>
      <c r="AO61" s="445"/>
      <c r="AP61" s="445"/>
      <c r="AQ61" s="445"/>
      <c r="AR61" s="445"/>
      <c r="AS61" s="445"/>
      <c r="AT61" s="445"/>
      <c r="AU61" s="445"/>
      <c r="AV61" s="445"/>
      <c r="AW61" s="445"/>
      <c r="AX61"/>
      <c r="AY61" s="444"/>
      <c r="AZ61" s="444"/>
      <c r="BA61" s="444"/>
      <c r="BB61" s="444"/>
      <c r="BC61" s="444"/>
      <c r="BD61" s="444"/>
      <c r="BE61" s="11"/>
      <c r="BF61" s="313"/>
      <c r="BG61" s="318"/>
      <c r="BH61" s="318"/>
      <c r="BI61" s="318"/>
      <c r="BJ61" s="318"/>
      <c r="BK61" s="318"/>
      <c r="BL61" s="318"/>
      <c r="BM61" s="318"/>
      <c r="BN61" s="318"/>
      <c r="BO61" s="318"/>
      <c r="BP61" s="318"/>
      <c r="BQ61" s="318"/>
      <c r="BR61" s="318"/>
      <c r="BS61" s="318"/>
      <c r="BT61" s="318"/>
      <c r="BU61" s="318"/>
      <c r="BV61" s="318"/>
      <c r="BW61" s="318"/>
      <c r="BX61" s="318"/>
      <c r="BY61" s="318"/>
      <c r="BZ61" s="314"/>
      <c r="CA61" s="275"/>
      <c r="CB61" s="276"/>
      <c r="CC61" s="277"/>
    </row>
    <row r="62" s="27" customFormat="1" customHeight="1" spans="2:81">
      <c r="H62" s="401"/>
      <c r="I62" s="401"/>
      <c r="J62" s="261"/>
      <c r="K62" s="446" t="s">
        <v>166</v>
      </c>
      <c r="L62" s="447" t="s">
        <v>167</v>
      </c>
      <c r="M62" s="447"/>
      <c r="N62" s="447"/>
      <c r="O62" s="447"/>
      <c r="P62" s="447"/>
      <c r="Q62" s="447"/>
      <c r="R62" s="447"/>
      <c r="S62" s="447"/>
      <c r="T62" s="396"/>
      <c r="U62" s="422"/>
      <c r="V62" s="422"/>
      <c r="W62" s="407"/>
      <c r="X62" s="441"/>
      <c r="Y62" s="298" t="s">
        <v>168</v>
      </c>
      <c r="Z62" s="298"/>
      <c r="AA62" s="298"/>
      <c r="AB62" s="298"/>
      <c r="AC62" s="298"/>
      <c r="AD62" s="298"/>
      <c r="AE62" s="298"/>
      <c r="AF62" s="298"/>
      <c r="AG62" s="298"/>
      <c r="AH62" s="298"/>
      <c r="AI62" s="298"/>
      <c r="AJ62" s="298"/>
      <c r="AK62" s="298"/>
      <c r="AL62" s="298"/>
      <c r="AM62" s="298"/>
      <c r="AN62" s="298"/>
      <c r="AO62" s="298"/>
      <c r="AP62" s="298"/>
      <c r="AQ62" s="298"/>
      <c r="AR62" s="298"/>
      <c r="AS62" s="298"/>
      <c r="AT62" s="298"/>
      <c r="AU62" s="298"/>
      <c r="AV62" s="298"/>
      <c r="AW62" s="298"/>
      <c r="AX62"/>
      <c r="AY62" s="444"/>
      <c r="AZ62" s="444"/>
      <c r="BA62" s="444"/>
      <c r="BB62" s="444"/>
      <c r="BC62" s="444"/>
      <c r="BD62" s="444"/>
      <c r="BE62" s="11"/>
      <c r="BF62" s="313"/>
      <c r="BG62" s="318"/>
      <c r="BH62" s="318"/>
      <c r="BI62" s="318"/>
      <c r="BJ62" s="318"/>
      <c r="BK62" s="318"/>
      <c r="BL62" s="318"/>
      <c r="BM62" s="318"/>
      <c r="BN62" s="318"/>
      <c r="BO62" s="318"/>
      <c r="BP62" s="318"/>
      <c r="BQ62" s="318"/>
      <c r="BR62" s="318"/>
      <c r="BS62" s="318"/>
      <c r="BT62" s="318"/>
      <c r="BU62" s="318"/>
      <c r="BV62" s="318"/>
      <c r="BW62" s="318"/>
      <c r="BX62" s="318"/>
      <c r="BY62" s="318"/>
      <c r="BZ62" s="314"/>
      <c r="CA62" s="275"/>
      <c r="CB62" s="276"/>
      <c r="CC62" s="277"/>
    </row>
    <row r="63" s="27" customFormat="1" customHeight="1" spans="2:81">
      <c r="B63" s="68"/>
      <c r="C63" s="68"/>
      <c r="H63" s="401"/>
      <c r="I63" s="401"/>
      <c r="J63" s="261"/>
      <c r="K63" s="448"/>
      <c r="L63" s="448"/>
      <c r="M63" s="448"/>
      <c r="N63" s="448"/>
      <c r="O63" s="448"/>
      <c r="P63" s="448"/>
      <c r="Q63" s="448"/>
      <c r="R63" s="448"/>
      <c r="S63" s="448"/>
      <c r="T63" s="396"/>
      <c r="U63" s="422"/>
      <c r="V63" s="422"/>
      <c r="W63" s="407"/>
      <c r="X63" s="441"/>
      <c r="Y63" s="445" t="s">
        <v>169</v>
      </c>
      <c r="Z63" s="445"/>
      <c r="AA63" s="445"/>
      <c r="AB63" s="445"/>
      <c r="AC63" s="445"/>
      <c r="AD63" s="445"/>
      <c r="AE63" s="445"/>
      <c r="AF63" s="445"/>
      <c r="AG63" s="445"/>
      <c r="AH63" s="445"/>
      <c r="AI63" s="445"/>
      <c r="AJ63" s="445"/>
      <c r="AK63" s="445"/>
      <c r="AL63" s="445"/>
      <c r="AM63" s="445"/>
      <c r="AN63" s="445"/>
      <c r="AO63" s="445"/>
      <c r="AP63" s="445"/>
      <c r="AQ63" s="445"/>
      <c r="AR63" s="445"/>
      <c r="AS63" s="445"/>
      <c r="AT63" s="445"/>
      <c r="AU63" s="445"/>
      <c r="AV63" s="445"/>
      <c r="AW63" s="445"/>
      <c r="AX63"/>
      <c r="AY63" s="444"/>
      <c r="AZ63" s="444"/>
      <c r="BA63" s="444"/>
      <c r="BB63" s="444"/>
      <c r="BC63" s="444"/>
      <c r="BD63" s="444"/>
      <c r="BE63" s="11"/>
      <c r="BF63" s="313"/>
      <c r="BG63" s="318"/>
      <c r="BH63" s="318"/>
      <c r="BI63" s="318"/>
      <c r="BJ63" s="318"/>
      <c r="BK63" s="318"/>
      <c r="BL63" s="318"/>
      <c r="BM63" s="318"/>
      <c r="BN63" s="318"/>
      <c r="BO63" s="318"/>
      <c r="BP63" s="318"/>
      <c r="BQ63" s="318"/>
      <c r="BR63" s="318"/>
      <c r="BS63" s="318"/>
      <c r="BT63" s="318"/>
      <c r="BU63" s="318"/>
      <c r="BV63" s="318"/>
      <c r="BW63" s="318"/>
      <c r="BX63" s="318"/>
      <c r="BY63" s="318"/>
      <c r="BZ63" s="314"/>
      <c r="CA63" s="275"/>
      <c r="CB63" s="276"/>
      <c r="CC63" s="277"/>
    </row>
    <row r="64" s="27" customFormat="1" customHeight="1" spans="2:81">
      <c r="B64" s="68"/>
      <c r="C64" s="68"/>
      <c r="H64" s="401"/>
      <c r="I64" s="401"/>
      <c r="J64" s="261"/>
      <c r="K64" s="448"/>
      <c r="L64" s="448"/>
      <c r="M64" s="448"/>
      <c r="N64" s="448"/>
      <c r="O64" s="448"/>
      <c r="P64" s="448"/>
      <c r="Q64" s="448"/>
      <c r="R64" s="448"/>
      <c r="S64" s="448"/>
      <c r="U64" s="422"/>
      <c r="V64" s="422"/>
      <c r="W64" s="407"/>
      <c r="X64" s="441"/>
      <c r="Y64" s="445" t="s">
        <v>170</v>
      </c>
      <c r="Z64" s="445"/>
      <c r="AA64" s="445"/>
      <c r="AB64" s="445"/>
      <c r="AC64" s="445"/>
      <c r="AD64" s="445"/>
      <c r="AE64" s="445"/>
      <c r="AF64" s="445"/>
      <c r="AG64" s="445"/>
      <c r="AH64" s="445"/>
      <c r="AI64" s="445"/>
      <c r="AJ64" s="445"/>
      <c r="AK64" s="445"/>
      <c r="AL64" s="445"/>
      <c r="AM64" s="445"/>
      <c r="AN64" s="445"/>
      <c r="AO64" s="445"/>
      <c r="AP64" s="445"/>
      <c r="AQ64" s="445"/>
      <c r="AR64" s="445"/>
      <c r="AS64" s="445"/>
      <c r="AT64" s="445"/>
      <c r="AU64" s="445"/>
      <c r="AV64" s="445"/>
      <c r="AW64" s="445"/>
      <c r="AX64"/>
      <c r="AY64" s="444"/>
      <c r="AZ64" s="444"/>
      <c r="BA64" s="444"/>
      <c r="BB64" s="444"/>
      <c r="BC64" s="444"/>
      <c r="BD64" s="444"/>
      <c r="BE64" s="11"/>
      <c r="BF64" s="313"/>
      <c r="BG64" s="318"/>
      <c r="BH64" s="318"/>
      <c r="BI64" s="318"/>
      <c r="BJ64" s="318"/>
      <c r="BK64" s="318"/>
      <c r="BL64" s="318"/>
      <c r="BM64" s="318"/>
      <c r="BN64" s="318"/>
      <c r="BO64" s="318"/>
      <c r="BP64" s="318"/>
      <c r="BQ64" s="318"/>
      <c r="BR64" s="318"/>
      <c r="BS64" s="318"/>
      <c r="BT64" s="318"/>
      <c r="BU64" s="318"/>
      <c r="BV64" s="318"/>
      <c r="BW64" s="318"/>
      <c r="BX64" s="318"/>
      <c r="BY64" s="318"/>
      <c r="BZ64" s="314"/>
      <c r="CA64" s="275"/>
      <c r="CB64" s="276"/>
      <c r="CC64" s="277"/>
    </row>
    <row r="65" s="27" customFormat="1" customHeight="1" spans="2:81">
      <c r="B65" s="68"/>
      <c r="C65" s="68"/>
      <c r="H65" s="401"/>
      <c r="I65" s="401"/>
      <c r="J65" s="261"/>
      <c r="K65" s="448"/>
      <c r="L65" s="448"/>
      <c r="M65" s="448"/>
      <c r="N65" s="448"/>
      <c r="O65" s="448"/>
      <c r="P65" s="448"/>
      <c r="Q65" s="448"/>
      <c r="R65" s="448"/>
      <c r="S65" s="448"/>
      <c r="U65" s="422"/>
      <c r="V65" s="422"/>
      <c r="W65" s="407"/>
      <c r="X65" s="449">
        <v>17</v>
      </c>
      <c r="Y65" s="450" t="s">
        <v>171</v>
      </c>
      <c r="Z65" s="450"/>
      <c r="AA65" s="450"/>
      <c r="AB65" s="450"/>
      <c r="AC65" s="450"/>
      <c r="AD65" s="450"/>
      <c r="AE65" s="450"/>
      <c r="AF65" s="450"/>
      <c r="AG65" s="450"/>
      <c r="AH65" s="450"/>
      <c r="AI65" s="450"/>
      <c r="AJ65" s="450"/>
      <c r="AK65" s="450"/>
      <c r="AL65" s="450"/>
      <c r="AM65" s="450"/>
      <c r="AN65" s="450"/>
      <c r="AO65" s="450"/>
      <c r="AP65" s="450"/>
      <c r="AQ65" s="450"/>
      <c r="AR65" s="450"/>
      <c r="AS65" s="450"/>
      <c r="AT65" s="450"/>
      <c r="AU65" s="450"/>
      <c r="AV65" s="450"/>
      <c r="AW65" s="450"/>
      <c r="AX65"/>
      <c r="AY65" s="444"/>
      <c r="AZ65" s="444"/>
      <c r="BA65" s="444"/>
      <c r="BB65" s="444"/>
      <c r="BC65" s="444"/>
      <c r="BD65" s="444"/>
      <c r="BE65" s="11"/>
      <c r="BF65" s="313"/>
      <c r="BG65" s="318"/>
      <c r="BH65" s="318"/>
      <c r="BI65" s="318"/>
      <c r="BJ65" s="318"/>
      <c r="BK65" s="318"/>
      <c r="BL65" s="318"/>
      <c r="BM65" s="318"/>
      <c r="BN65" s="318"/>
      <c r="BO65" s="318"/>
      <c r="BP65" s="318"/>
      <c r="BQ65" s="318"/>
      <c r="BR65" s="318"/>
      <c r="BS65" s="318"/>
      <c r="BT65" s="318"/>
      <c r="BU65" s="318"/>
      <c r="BV65" s="318"/>
      <c r="BW65" s="318"/>
      <c r="BX65" s="318"/>
      <c r="BY65" s="318"/>
      <c r="BZ65" s="314"/>
      <c r="CA65" s="275"/>
      <c r="CB65" s="276"/>
      <c r="CC65" s="277"/>
    </row>
    <row r="66" s="27" customFormat="1" customHeight="1" spans="2:81">
      <c r="H66" s="401"/>
      <c r="I66" s="401"/>
      <c r="J66" s="261"/>
      <c r="K66" s="448"/>
      <c r="L66" s="448"/>
      <c r="M66" s="448"/>
      <c r="N66" s="448"/>
      <c r="O66" s="448"/>
      <c r="P66" s="448"/>
      <c r="Q66" s="448"/>
      <c r="R66" s="448"/>
      <c r="S66" s="448"/>
      <c r="U66" s="422"/>
      <c r="V66" s="422"/>
      <c r="W66" s="407"/>
      <c r="X66" s="451"/>
      <c r="Y66" s="452" t="s">
        <v>172</v>
      </c>
      <c r="Z66" s="452"/>
      <c r="AA66" s="452"/>
      <c r="AB66" s="452"/>
      <c r="AC66" s="452"/>
      <c r="AD66" s="452"/>
      <c r="AE66" s="452"/>
      <c r="AF66" s="452"/>
      <c r="AG66" s="452"/>
      <c r="AH66" s="452"/>
      <c r="AI66" s="452"/>
      <c r="AJ66" s="452"/>
      <c r="AK66" s="452"/>
      <c r="AL66" s="452"/>
      <c r="AM66" s="452"/>
      <c r="AN66" s="452"/>
      <c r="AO66" s="452"/>
      <c r="AP66" s="452"/>
      <c r="AQ66" s="452"/>
      <c r="AR66" s="452"/>
      <c r="AS66" s="452"/>
      <c r="AT66" s="452"/>
      <c r="AU66" s="452"/>
      <c r="AV66" s="452"/>
      <c r="AW66" s="452"/>
      <c r="AX66"/>
      <c r="AY66" s="444"/>
      <c r="AZ66" s="444"/>
      <c r="BA66" s="444"/>
      <c r="BB66" s="444"/>
      <c r="BC66" s="444"/>
      <c r="BD66" s="444"/>
      <c r="BE66" s="11"/>
      <c r="BF66" s="313"/>
      <c r="BG66" s="318"/>
      <c r="BH66" s="318"/>
      <c r="BI66" s="318"/>
      <c r="BJ66" s="318"/>
      <c r="BK66" s="318"/>
      <c r="BL66" s="318"/>
      <c r="BM66" s="318"/>
      <c r="BN66" s="318"/>
      <c r="BO66" s="318"/>
      <c r="BP66" s="318"/>
      <c r="BQ66" s="318"/>
      <c r="BR66" s="318"/>
      <c r="BS66" s="318"/>
      <c r="BT66" s="318"/>
      <c r="BU66" s="318"/>
      <c r="BV66" s="318"/>
      <c r="BW66" s="318"/>
      <c r="BX66" s="318"/>
      <c r="BY66" s="318"/>
      <c r="BZ66" s="314"/>
      <c r="CA66" s="275"/>
      <c r="CB66" s="276"/>
      <c r="CC66" s="277"/>
    </row>
    <row r="67" s="27" customFormat="1" customHeight="1" spans="2:81">
      <c r="H67" s="401"/>
      <c r="I67" s="401"/>
      <c r="J67" s="261"/>
      <c r="K67" s="448"/>
      <c r="L67" s="448"/>
      <c r="M67" s="448"/>
      <c r="N67" s="448"/>
      <c r="O67" s="448"/>
      <c r="P67" s="448"/>
      <c r="Q67" s="448"/>
      <c r="R67" s="448"/>
      <c r="S67" s="448"/>
      <c r="U67" s="422"/>
      <c r="V67" s="422"/>
      <c r="W67" s="407"/>
      <c r="X67" s="451"/>
      <c r="Y67" s="453" t="s">
        <v>173</v>
      </c>
      <c r="Z67" s="453"/>
      <c r="AA67" s="453"/>
      <c r="AB67" s="453"/>
      <c r="AC67" s="453"/>
      <c r="AD67" s="453"/>
      <c r="AE67" s="453"/>
      <c r="AF67" s="453"/>
      <c r="AG67" s="453"/>
      <c r="AH67" s="453"/>
      <c r="AI67" s="453"/>
      <c r="AJ67" s="453"/>
      <c r="AK67" s="453"/>
      <c r="AL67" s="453"/>
      <c r="AM67" s="453"/>
      <c r="AN67" s="453"/>
      <c r="AO67" s="453"/>
      <c r="AP67" s="453"/>
      <c r="AQ67" s="453"/>
      <c r="AR67" s="453"/>
      <c r="AS67" s="453"/>
      <c r="AT67" s="453"/>
      <c r="AU67" s="453"/>
      <c r="AV67" s="453"/>
      <c r="AW67" s="453"/>
      <c r="AX67"/>
      <c r="AY67" s="444"/>
      <c r="AZ67" s="444"/>
      <c r="BA67" s="444"/>
      <c r="BB67" s="444"/>
      <c r="BC67" s="444"/>
      <c r="BD67" s="444"/>
      <c r="BE67" s="11"/>
      <c r="BF67" s="313" t="s">
        <v>174</v>
      </c>
      <c r="BG67" s="313"/>
      <c r="BH67" s="313"/>
      <c r="BI67" s="313"/>
      <c r="BJ67" s="313"/>
      <c r="BK67" s="313"/>
      <c r="BL67" s="313"/>
      <c r="BM67" s="313"/>
      <c r="BN67" s="313"/>
      <c r="BO67" s="313"/>
      <c r="BP67" s="313"/>
      <c r="BQ67" s="313"/>
      <c r="BR67" s="313"/>
      <c r="BS67" s="313"/>
      <c r="BT67" s="313"/>
      <c r="BU67" s="313"/>
      <c r="BV67" s="313"/>
      <c r="BW67" s="313"/>
      <c r="BX67" s="313"/>
      <c r="BY67" s="313"/>
      <c r="BZ67" s="314"/>
      <c r="CA67" s="275"/>
      <c r="CB67" s="276"/>
      <c r="CC67" s="277"/>
    </row>
    <row r="68" s="27" customFormat="1" customHeight="1" spans="2:81">
      <c r="H68" s="401"/>
      <c r="I68" s="401"/>
      <c r="J68" s="261"/>
      <c r="K68" s="448"/>
      <c r="L68" s="448"/>
      <c r="M68" s="448"/>
      <c r="N68" s="448"/>
      <c r="O68" s="448"/>
      <c r="P68" s="448"/>
      <c r="Q68" s="448"/>
      <c r="R68" s="448"/>
      <c r="S68" s="448"/>
      <c r="T68" s="443"/>
      <c r="U68" s="422"/>
      <c r="V68" s="422"/>
      <c r="W68" s="407"/>
      <c r="X68" s="451"/>
      <c r="Y68" s="452" t="s">
        <v>175</v>
      </c>
      <c r="Z68" s="452"/>
      <c r="AA68" s="452"/>
      <c r="AB68" s="452"/>
      <c r="AC68" s="452"/>
      <c r="AD68" s="452"/>
      <c r="AE68" s="452"/>
      <c r="AF68" s="452"/>
      <c r="AG68" s="452"/>
      <c r="AH68" s="452"/>
      <c r="AI68" s="452"/>
      <c r="AJ68" s="452"/>
      <c r="AK68" s="452"/>
      <c r="AL68" s="452"/>
      <c r="AM68" s="452"/>
      <c r="AN68" s="452"/>
      <c r="AO68" s="452"/>
      <c r="AP68" s="452"/>
      <c r="AQ68" s="452"/>
      <c r="AR68" s="452"/>
      <c r="AS68" s="452"/>
      <c r="AT68" s="452"/>
      <c r="AU68" s="452"/>
      <c r="AV68" s="452"/>
      <c r="AW68" s="452"/>
      <c r="AX68"/>
      <c r="AY68" s="444"/>
      <c r="AZ68" s="444"/>
      <c r="BA68" s="444"/>
      <c r="BB68" s="444"/>
      <c r="BC68" s="444"/>
      <c r="BD68" s="444"/>
      <c r="BE68" s="11"/>
      <c r="BF68" s="313"/>
      <c r="BG68" s="318"/>
      <c r="BH68" s="318"/>
      <c r="BI68" s="318"/>
      <c r="BJ68" s="318"/>
      <c r="BK68" s="318"/>
      <c r="BL68" s="318"/>
      <c r="BM68" s="318"/>
      <c r="BN68" s="318"/>
      <c r="BO68" s="318"/>
      <c r="BP68" s="318"/>
      <c r="BQ68" s="318"/>
      <c r="BR68" s="318"/>
      <c r="BS68" s="318"/>
      <c r="BT68" s="318"/>
      <c r="BU68" s="318"/>
      <c r="BV68" s="318"/>
      <c r="BW68" s="318"/>
      <c r="BX68" s="318"/>
      <c r="BY68" s="318"/>
      <c r="BZ68" s="314"/>
      <c r="CA68" s="275"/>
      <c r="CB68" s="276"/>
      <c r="CC68" s="277"/>
    </row>
    <row r="69" s="27" customFormat="1" customHeight="1" spans="2:81">
      <c r="H69" s="401"/>
      <c r="I69" s="401"/>
      <c r="J69" s="261"/>
      <c r="K69" s="448"/>
      <c r="L69" s="454" t="s">
        <v>176</v>
      </c>
      <c r="M69" s="454"/>
      <c r="N69" s="454"/>
      <c r="O69" s="454"/>
      <c r="P69" s="454"/>
      <c r="Q69" s="454"/>
      <c r="R69" s="454"/>
      <c r="S69" s="454"/>
      <c r="U69" s="422"/>
      <c r="V69" s="422"/>
      <c r="W69" s="407"/>
      <c r="X69" s="451"/>
      <c r="Y69" s="455" t="s">
        <v>177</v>
      </c>
      <c r="Z69" s="455"/>
      <c r="AA69" s="455"/>
      <c r="AB69" s="455"/>
      <c r="AC69" s="455"/>
      <c r="AD69" s="455"/>
      <c r="AE69" s="455"/>
      <c r="AF69" s="455"/>
      <c r="AG69" s="455"/>
      <c r="AH69" s="455"/>
      <c r="AI69" s="455"/>
      <c r="AJ69" s="455"/>
      <c r="AK69" s="455"/>
      <c r="AL69" s="455"/>
      <c r="AM69" s="455"/>
      <c r="AN69" s="455"/>
      <c r="AO69" s="455"/>
      <c r="AP69" s="455"/>
      <c r="AQ69" s="455"/>
      <c r="AR69" s="455"/>
      <c r="AS69" s="455"/>
      <c r="AT69" s="455"/>
      <c r="AU69" s="455"/>
      <c r="AV69" s="455"/>
      <c r="AW69" s="455"/>
      <c r="AX69"/>
      <c r="AY69" s="444"/>
      <c r="AZ69" s="444"/>
      <c r="BA69" s="444"/>
      <c r="BB69" s="444"/>
      <c r="BC69" s="444"/>
      <c r="BD69" s="444"/>
      <c r="BE69" s="11"/>
      <c r="BF69" s="313"/>
      <c r="BG69" s="318"/>
      <c r="BH69" s="318"/>
      <c r="BI69" s="318"/>
      <c r="BJ69" s="318"/>
      <c r="BK69" s="318"/>
      <c r="BL69" s="318"/>
      <c r="BM69" s="318"/>
      <c r="BN69" s="318"/>
      <c r="BO69" s="318"/>
      <c r="BP69" s="318"/>
      <c r="BQ69" s="318"/>
      <c r="BR69" s="318"/>
      <c r="BS69" s="318"/>
      <c r="BT69" s="318"/>
      <c r="BU69" s="318"/>
      <c r="BV69" s="318"/>
      <c r="BW69" s="318"/>
      <c r="BX69" s="318"/>
      <c r="BY69" s="318"/>
      <c r="BZ69" s="314"/>
      <c r="CA69" s="275"/>
      <c r="CB69" s="276"/>
      <c r="CC69" s="277"/>
    </row>
    <row r="70" s="27" customFormat="1" customHeight="1" spans="2:81">
      <c r="H70" s="401"/>
      <c r="I70" s="401"/>
      <c r="J70" s="261"/>
      <c r="K70" s="448"/>
      <c r="L70" s="456"/>
      <c r="M70" s="456"/>
      <c r="N70" s="456"/>
      <c r="O70" s="456"/>
      <c r="P70" s="456"/>
      <c r="Q70" s="456"/>
      <c r="R70" s="456"/>
      <c r="S70" s="456"/>
      <c r="U70" s="422"/>
      <c r="V70" s="422"/>
      <c r="W70" s="407"/>
      <c r="X70" s="457"/>
      <c r="Y70" s="458" t="s">
        <v>178</v>
      </c>
      <c r="Z70" s="458"/>
      <c r="AA70" s="458"/>
      <c r="AB70" s="458"/>
      <c r="AC70" s="458"/>
      <c r="AD70" s="458"/>
      <c r="AE70" s="458"/>
      <c r="AF70" s="458"/>
      <c r="AG70" s="458"/>
      <c r="AH70" s="458"/>
      <c r="AI70" s="458"/>
      <c r="AJ70" s="458"/>
      <c r="AK70" s="458"/>
      <c r="AL70" s="458"/>
      <c r="AM70" s="458"/>
      <c r="AN70" s="458"/>
      <c r="AO70" s="458"/>
      <c r="AP70" s="458"/>
      <c r="AQ70" s="458"/>
      <c r="AR70" s="458"/>
      <c r="AS70" s="458"/>
      <c r="AT70" s="458"/>
      <c r="AU70" s="458"/>
      <c r="AV70" s="458"/>
      <c r="AW70" s="458"/>
      <c r="AX70"/>
      <c r="AY70" s="444"/>
      <c r="AZ70" s="444"/>
      <c r="BA70" s="444"/>
      <c r="BB70" s="444"/>
      <c r="BC70" s="444"/>
      <c r="BD70" s="444"/>
      <c r="BE70" s="11"/>
      <c r="BF70" s="313"/>
      <c r="BG70" s="318"/>
      <c r="BH70" s="318"/>
      <c r="BI70" s="318"/>
      <c r="BJ70" s="318"/>
      <c r="BK70" s="318"/>
      <c r="BL70" s="318"/>
      <c r="BM70" s="318"/>
      <c r="BN70" s="318"/>
      <c r="BO70" s="318"/>
      <c r="BP70" s="318"/>
      <c r="BQ70" s="318"/>
      <c r="BR70" s="318"/>
      <c r="BS70" s="318"/>
      <c r="BT70" s="318"/>
      <c r="BU70" s="318"/>
      <c r="BV70" s="318"/>
      <c r="BW70" s="318"/>
      <c r="BX70" s="318"/>
      <c r="BY70" s="318"/>
      <c r="BZ70" s="314"/>
      <c r="CA70" s="275"/>
      <c r="CB70" s="276"/>
      <c r="CC70" s="277"/>
    </row>
    <row r="71" s="27" customFormat="1" customHeight="1" spans="2:81">
      <c r="H71" s="401"/>
      <c r="I71" s="401"/>
      <c r="J71" s="261"/>
      <c r="K71" s="448"/>
      <c r="L71" s="456"/>
      <c r="M71" s="456"/>
      <c r="N71" s="456"/>
      <c r="O71" s="456"/>
      <c r="P71" s="456"/>
      <c r="Q71" s="456"/>
      <c r="R71" s="456"/>
      <c r="S71" s="456"/>
      <c r="U71" s="422"/>
      <c r="V71" s="422"/>
      <c r="W71" s="147" t="s">
        <v>179</v>
      </c>
      <c r="X71" s="459"/>
      <c r="Y71" s="459"/>
      <c r="Z71" s="459"/>
      <c r="AA71" s="459"/>
      <c r="AB71" s="459"/>
      <c r="AC71" s="459"/>
      <c r="AD71" s="459"/>
      <c r="AE71" s="459"/>
      <c r="AF71" s="459"/>
      <c r="AG71" s="459"/>
      <c r="AH71" s="459"/>
      <c r="AI71" s="459"/>
      <c r="AJ71" s="459"/>
      <c r="AK71" s="459"/>
      <c r="AL71" s="459"/>
      <c r="AM71" s="459"/>
      <c r="AN71" s="459"/>
      <c r="AO71" s="459"/>
      <c r="AP71" s="459"/>
      <c r="AQ71" s="459"/>
      <c r="AR71" s="459"/>
      <c r="AS71" s="459"/>
      <c r="AT71" s="459"/>
      <c r="AU71" s="459"/>
      <c r="AV71" s="459"/>
      <c r="AW71" s="459"/>
      <c r="AY71" s="460" t="s">
        <v>180</v>
      </c>
      <c r="AZ71" s="461" t="s">
        <v>181</v>
      </c>
      <c r="BA71" s="462"/>
      <c r="BB71" s="462"/>
      <c r="BC71" s="462"/>
      <c r="BD71" s="463"/>
      <c r="BE71" s="11"/>
      <c r="BF71" s="313"/>
      <c r="BG71" s="318"/>
      <c r="BH71" s="318"/>
      <c r="BI71" s="318"/>
      <c r="BJ71" s="318"/>
      <c r="BK71" s="318"/>
      <c r="BL71" s="318"/>
      <c r="BM71" s="318"/>
      <c r="BN71" s="318"/>
      <c r="BO71" s="318"/>
      <c r="BP71" s="318"/>
      <c r="BQ71" s="318"/>
      <c r="BR71" s="318"/>
      <c r="BS71" s="318"/>
      <c r="BT71" s="318"/>
      <c r="BU71" s="318"/>
      <c r="BV71" s="318"/>
      <c r="BW71" s="318"/>
      <c r="BX71" s="318"/>
      <c r="BY71" s="318"/>
      <c r="BZ71" s="314"/>
      <c r="CA71" s="275"/>
      <c r="CB71" s="276"/>
      <c r="CC71" s="277"/>
    </row>
    <row r="72" s="27" customFormat="1" customHeight="1" spans="2:81">
      <c r="H72" s="401"/>
      <c r="I72" s="401"/>
      <c r="J72" s="261"/>
      <c r="K72" s="448"/>
      <c r="L72" s="456"/>
      <c r="M72" s="456"/>
      <c r="N72" s="456"/>
      <c r="O72" s="456"/>
      <c r="P72" s="456"/>
      <c r="Q72" s="456"/>
      <c r="R72" s="456"/>
      <c r="S72" s="456"/>
      <c r="U72" s="422"/>
      <c r="V72" s="422"/>
      <c r="W72" s="464" t="s">
        <v>182</v>
      </c>
      <c r="X72" s="464"/>
      <c r="Y72" s="464"/>
      <c r="Z72" s="464"/>
      <c r="AA72" s="464"/>
      <c r="AB72" s="464"/>
      <c r="AC72" s="464"/>
      <c r="AD72" s="464"/>
      <c r="AE72" s="464"/>
      <c r="AF72" s="464"/>
      <c r="AG72" s="464"/>
      <c r="AH72" s="464"/>
      <c r="AI72" s="464"/>
      <c r="AJ72" s="464"/>
      <c r="AK72" s="464"/>
      <c r="AL72" s="464"/>
      <c r="AM72" s="464"/>
      <c r="AN72" s="464"/>
      <c r="AO72" s="465"/>
      <c r="AP72" s="466" t="s">
        <v>183</v>
      </c>
      <c r="AQ72" s="466"/>
      <c r="AR72" s="466"/>
      <c r="AS72" s="466"/>
      <c r="AT72" s="466"/>
      <c r="AU72" s="466"/>
      <c r="AV72" s="466"/>
      <c r="AW72" s="466"/>
      <c r="AY72" s="5"/>
      <c r="AZ72" s="467" t="s">
        <v>184</v>
      </c>
      <c r="BA72" s="42" t="s">
        <v>185</v>
      </c>
      <c r="BB72" s="468" t="s">
        <v>186</v>
      </c>
      <c r="BC72" s="468" t="s">
        <v>187</v>
      </c>
      <c r="BD72" s="469" t="s">
        <v>188</v>
      </c>
      <c r="BE72" s="11"/>
      <c r="BF72" s="313"/>
      <c r="BG72" s="318"/>
      <c r="BH72" s="318"/>
      <c r="BI72" s="318"/>
      <c r="BJ72" s="318"/>
      <c r="BK72" s="318"/>
      <c r="BL72" s="318"/>
      <c r="BM72" s="318"/>
      <c r="BN72" s="318"/>
      <c r="BO72" s="318"/>
      <c r="BP72" s="318"/>
      <c r="BQ72" s="318"/>
      <c r="BR72" s="318"/>
      <c r="BS72" s="318"/>
      <c r="BT72" s="318"/>
      <c r="BU72" s="318"/>
      <c r="BV72" s="318"/>
      <c r="BW72" s="318"/>
      <c r="BX72" s="318"/>
      <c r="BY72" s="318"/>
      <c r="BZ72" s="314"/>
      <c r="CA72" s="275"/>
      <c r="CB72" s="276"/>
      <c r="CC72" s="277"/>
    </row>
    <row r="73" s="27" customFormat="1" customHeight="1" spans="2:81">
      <c r="H73" s="401"/>
      <c r="I73" s="401"/>
      <c r="J73" s="261"/>
      <c r="K73"/>
      <c r="L73" s="470"/>
      <c r="M73" s="470"/>
      <c r="N73" s="470"/>
      <c r="O73" s="470"/>
      <c r="P73" s="470"/>
      <c r="Q73" s="470"/>
      <c r="R73" s="470"/>
      <c r="S73" s="470"/>
      <c r="U73" s="422"/>
      <c r="V73" s="422"/>
      <c r="W73" s="471"/>
      <c r="X73" s="471"/>
      <c r="Y73" s="471"/>
      <c r="Z73" s="471"/>
      <c r="AA73" s="471"/>
      <c r="AB73" s="471"/>
      <c r="AC73" s="471"/>
      <c r="AD73" s="471"/>
      <c r="AE73" s="471"/>
      <c r="AF73" s="471"/>
      <c r="AG73" s="471"/>
      <c r="AH73" s="471"/>
      <c r="AI73" s="471"/>
      <c r="AJ73" s="471"/>
      <c r="AK73" s="471"/>
      <c r="AL73" s="471"/>
      <c r="AM73" s="471"/>
      <c r="AN73" s="471"/>
      <c r="AO73" s="472"/>
      <c r="AP73" s="466"/>
      <c r="AQ73" s="473"/>
      <c r="AR73" s="473"/>
      <c r="AS73" s="473"/>
      <c r="AT73" s="473"/>
      <c r="AU73" s="473"/>
      <c r="AV73" s="473"/>
      <c r="AW73" s="466"/>
      <c r="AY73" s="5"/>
      <c r="AZ73" s="467"/>
      <c r="BA73" s="42"/>
      <c r="BB73" s="468" t="s">
        <v>189</v>
      </c>
      <c r="BC73" s="468" t="s">
        <v>190</v>
      </c>
      <c r="BD73" s="469" t="s">
        <v>191</v>
      </c>
      <c r="BE73" s="11"/>
      <c r="BF73" s="313"/>
      <c r="BG73" s="318"/>
      <c r="BH73" s="318"/>
      <c r="BI73" s="318"/>
      <c r="BJ73" s="318"/>
      <c r="BK73" s="318"/>
      <c r="BL73" s="318"/>
      <c r="BM73" s="318"/>
      <c r="BN73" s="318"/>
      <c r="BO73" s="318"/>
      <c r="BP73" s="318"/>
      <c r="BQ73" s="318"/>
      <c r="BR73" s="318"/>
      <c r="BS73" s="318"/>
      <c r="BT73" s="318"/>
      <c r="BU73" s="318"/>
      <c r="BV73" s="318"/>
      <c r="BW73" s="318"/>
      <c r="BX73" s="318"/>
      <c r="BY73" s="318"/>
      <c r="BZ73" s="314"/>
      <c r="CA73" s="275"/>
      <c r="CB73" s="276"/>
      <c r="CC73" s="277"/>
    </row>
    <row r="74" s="27" customFormat="1" customHeight="1" spans="2:81">
      <c r="H74" s="401"/>
      <c r="I74" s="401"/>
      <c r="J74" s="261"/>
      <c r="U74" s="422"/>
      <c r="V74" s="422"/>
      <c r="W74" s="471"/>
      <c r="X74" s="471"/>
      <c r="Y74" s="471"/>
      <c r="Z74" s="471"/>
      <c r="AA74" s="471"/>
      <c r="AB74" s="471"/>
      <c r="AC74" s="471"/>
      <c r="AD74" s="471"/>
      <c r="AE74" s="471"/>
      <c r="AF74" s="471"/>
      <c r="AG74" s="471"/>
      <c r="AH74" s="471"/>
      <c r="AI74" s="471"/>
      <c r="AJ74" s="471"/>
      <c r="AK74" s="471"/>
      <c r="AL74" s="471"/>
      <c r="AM74" s="471"/>
      <c r="AN74" s="471"/>
      <c r="AO74" s="472"/>
      <c r="AP74" s="466"/>
      <c r="AQ74" s="473"/>
      <c r="AR74" s="473"/>
      <c r="AS74" s="473"/>
      <c r="AT74" s="473"/>
      <c r="AU74" s="473"/>
      <c r="AV74" s="473"/>
      <c r="AW74" s="466"/>
      <c r="AY74" s="5"/>
      <c r="AZ74" s="474"/>
      <c r="BA74" s="28" t="s">
        <v>192</v>
      </c>
      <c r="BB74" s="475">
        <v>0.5</v>
      </c>
      <c r="BC74" s="475">
        <v>0.4</v>
      </c>
      <c r="BD74" s="476">
        <v>0.4</v>
      </c>
      <c r="BE74" s="11"/>
      <c r="BF74" s="313"/>
      <c r="BG74" s="318"/>
      <c r="BH74" s="318"/>
      <c r="BI74" s="318"/>
      <c r="BJ74" s="318"/>
      <c r="BK74" s="318"/>
      <c r="BL74" s="318"/>
      <c r="BM74" s="318"/>
      <c r="BN74" s="318"/>
      <c r="BO74" s="318"/>
      <c r="BP74" s="318"/>
      <c r="BQ74" s="318"/>
      <c r="BR74" s="318"/>
      <c r="BS74" s="318"/>
      <c r="BT74" s="318"/>
      <c r="BU74" s="318"/>
      <c r="BV74" s="318"/>
      <c r="BW74" s="318"/>
      <c r="BX74" s="318"/>
      <c r="BY74" s="318"/>
      <c r="BZ74" s="314"/>
      <c r="CA74" s="275"/>
      <c r="CB74" s="276"/>
      <c r="CC74" s="277"/>
    </row>
    <row r="75" s="27" customFormat="1" customHeight="1" spans="2:81">
      <c r="H75" s="401"/>
      <c r="I75" s="401"/>
      <c r="J75" s="261"/>
      <c r="L75" s="448"/>
      <c r="M75" s="448"/>
      <c r="N75" s="448"/>
      <c r="O75" s="448"/>
      <c r="P75" s="448"/>
      <c r="Q75" s="448"/>
      <c r="R75" s="448"/>
      <c r="S75" s="448"/>
      <c r="U75" s="422"/>
      <c r="V75" s="422"/>
      <c r="W75" s="471"/>
      <c r="X75" s="471"/>
      <c r="Y75" s="471"/>
      <c r="Z75" s="471"/>
      <c r="AA75" s="471"/>
      <c r="AB75" s="471"/>
      <c r="AC75" s="471"/>
      <c r="AD75" s="471"/>
      <c r="AE75" s="471"/>
      <c r="AF75" s="471"/>
      <c r="AG75" s="471"/>
      <c r="AH75" s="471"/>
      <c r="AI75" s="471"/>
      <c r="AJ75" s="471"/>
      <c r="AK75" s="471"/>
      <c r="AL75" s="471"/>
      <c r="AM75" s="471"/>
      <c r="AN75" s="471"/>
      <c r="AO75" s="472"/>
      <c r="AP75" s="466"/>
      <c r="AQ75" s="473"/>
      <c r="AR75" s="473"/>
      <c r="AS75" s="473"/>
      <c r="AT75" s="473"/>
      <c r="AU75" s="473"/>
      <c r="AV75" s="473"/>
      <c r="AW75" s="466"/>
      <c r="AY75" s="5"/>
      <c r="AZ75" s="477" t="s">
        <v>193</v>
      </c>
      <c r="BA75" s="28" t="s">
        <v>194</v>
      </c>
      <c r="BB75" s="475">
        <v>0.4</v>
      </c>
      <c r="BC75" s="475">
        <v>0.3</v>
      </c>
      <c r="BD75" s="476">
        <v>0.3</v>
      </c>
      <c r="BE75" s="11"/>
      <c r="BF75" s="313"/>
      <c r="BG75" s="318"/>
      <c r="BH75" s="318"/>
      <c r="BI75" s="318"/>
      <c r="BJ75" s="318"/>
      <c r="BK75" s="318"/>
      <c r="BL75" s="318"/>
      <c r="BM75" s="318"/>
      <c r="BN75" s="318"/>
      <c r="BO75" s="318"/>
      <c r="BP75" s="318"/>
      <c r="BQ75" s="318"/>
      <c r="BR75" s="318"/>
      <c r="BS75" s="318"/>
      <c r="BT75" s="318"/>
      <c r="BU75" s="318"/>
      <c r="BV75" s="318"/>
      <c r="BW75" s="318"/>
      <c r="BX75" s="318"/>
      <c r="BY75" s="318"/>
      <c r="BZ75" s="314"/>
      <c r="CA75" s="275"/>
      <c r="CB75" s="276"/>
      <c r="CC75" s="277"/>
    </row>
    <row r="76" s="27" customFormat="1" customHeight="1" spans="2:81">
      <c r="H76" s="401"/>
      <c r="I76" s="401"/>
      <c r="J76" s="261"/>
      <c r="U76" s="422"/>
      <c r="V76" s="422"/>
      <c r="W76" s="471"/>
      <c r="X76" s="471"/>
      <c r="Y76" s="471"/>
      <c r="Z76" s="471"/>
      <c r="AA76" s="471"/>
      <c r="AB76" s="471"/>
      <c r="AC76" s="471"/>
      <c r="AD76" s="471"/>
      <c r="AE76" s="471"/>
      <c r="AF76" s="471"/>
      <c r="AG76" s="471"/>
      <c r="AH76" s="471"/>
      <c r="AI76" s="471"/>
      <c r="AJ76" s="471"/>
      <c r="AK76" s="471"/>
      <c r="AL76" s="471"/>
      <c r="AM76" s="471"/>
      <c r="AN76" s="471"/>
      <c r="AO76" s="472"/>
      <c r="AP76" s="466"/>
      <c r="AQ76" s="473"/>
      <c r="AR76" s="473"/>
      <c r="AS76" s="473"/>
      <c r="AT76" s="473"/>
      <c r="AU76" s="473"/>
      <c r="AV76" s="473"/>
      <c r="AW76" s="466"/>
      <c r="AY76" s="5"/>
      <c r="AZ76" s="477"/>
      <c r="BA76" s="28" t="s">
        <v>195</v>
      </c>
      <c r="BB76" s="475">
        <v>0.5</v>
      </c>
      <c r="BC76" s="475">
        <v>0.2</v>
      </c>
      <c r="BD76" s="476">
        <v>0.3</v>
      </c>
      <c r="BE76" s="11"/>
      <c r="BF76" s="313"/>
      <c r="BG76" s="318"/>
      <c r="BH76" s="318"/>
      <c r="BI76" s="318"/>
      <c r="BJ76" s="318"/>
      <c r="BK76" s="318"/>
      <c r="BL76" s="318"/>
      <c r="BM76" s="318"/>
      <c r="BN76" s="318"/>
      <c r="BO76" s="318"/>
      <c r="BP76" s="318"/>
      <c r="BQ76" s="318"/>
      <c r="BR76" s="318"/>
      <c r="BS76" s="318"/>
      <c r="BT76" s="318"/>
      <c r="BU76" s="318"/>
      <c r="BV76" s="318"/>
      <c r="BW76" s="318"/>
      <c r="BX76" s="318"/>
      <c r="BY76" s="318"/>
      <c r="BZ76" s="314"/>
      <c r="CA76" s="275"/>
      <c r="CB76" s="276"/>
      <c r="CC76" s="277"/>
    </row>
    <row r="77" s="27" customFormat="1" customHeight="1" spans="2:81">
      <c r="H77" s="401"/>
      <c r="I77" s="401"/>
      <c r="J77" s="261"/>
      <c r="U77" s="422"/>
      <c r="V77" s="422"/>
      <c r="W77" s="471"/>
      <c r="X77" s="471"/>
      <c r="Y77" s="471"/>
      <c r="Z77" s="471"/>
      <c r="AA77" s="471"/>
      <c r="AB77" s="471"/>
      <c r="AC77" s="471"/>
      <c r="AD77" s="471"/>
      <c r="AE77" s="471"/>
      <c r="AF77" s="471"/>
      <c r="AG77" s="471"/>
      <c r="AH77" s="471"/>
      <c r="AI77" s="471"/>
      <c r="AJ77" s="471"/>
      <c r="AK77" s="471"/>
      <c r="AL77" s="471"/>
      <c r="AM77" s="471"/>
      <c r="AN77" s="471"/>
      <c r="AO77" s="472"/>
      <c r="AP77" s="466"/>
      <c r="AQ77" s="473"/>
      <c r="AR77" s="473"/>
      <c r="AS77" s="473"/>
      <c r="AT77" s="473"/>
      <c r="AU77" s="473"/>
      <c r="AV77" s="473"/>
      <c r="AW77" s="466"/>
      <c r="AY77" s="5"/>
      <c r="AZ77" s="478" t="s">
        <v>196</v>
      </c>
      <c r="BA77" s="479" t="s">
        <v>197</v>
      </c>
      <c r="BB77" s="480">
        <v>0.7</v>
      </c>
      <c r="BC77" s="481">
        <v>0.4</v>
      </c>
      <c r="BD77" s="482">
        <v>0.4</v>
      </c>
      <c r="BE77" s="11"/>
      <c r="BF77" s="313"/>
      <c r="BG77" s="318"/>
      <c r="BH77" s="318"/>
      <c r="BI77" s="318"/>
      <c r="BJ77" s="318"/>
      <c r="BK77" s="318"/>
      <c r="BL77" s="318"/>
      <c r="BM77" s="318"/>
      <c r="BN77" s="318"/>
      <c r="BO77" s="318"/>
      <c r="BP77" s="318"/>
      <c r="BQ77" s="318"/>
      <c r="BR77" s="318"/>
      <c r="BS77" s="318"/>
      <c r="BT77" s="318"/>
      <c r="BU77" s="318"/>
      <c r="BV77" s="318"/>
      <c r="BW77" s="318"/>
      <c r="BX77" s="318"/>
      <c r="BY77" s="318"/>
      <c r="BZ77" s="314"/>
      <c r="CA77" s="275"/>
      <c r="CB77" s="276"/>
      <c r="CC77" s="277"/>
    </row>
    <row r="78" s="27" customFormat="1" customHeight="1" spans="2:81">
      <c r="H78" s="401"/>
      <c r="I78" s="401"/>
      <c r="J78" s="261"/>
      <c r="U78" s="422"/>
      <c r="V78" s="422"/>
      <c r="W78" s="471"/>
      <c r="X78" s="471"/>
      <c r="Y78" s="471"/>
      <c r="Z78" s="471"/>
      <c r="AA78" s="471"/>
      <c r="AB78" s="471"/>
      <c r="AC78" s="471"/>
      <c r="AD78" s="471"/>
      <c r="AE78" s="471"/>
      <c r="AF78" s="471"/>
      <c r="AG78" s="471"/>
      <c r="AH78" s="471"/>
      <c r="AI78" s="471"/>
      <c r="AJ78" s="471"/>
      <c r="AK78" s="471"/>
      <c r="AL78" s="471"/>
      <c r="AM78" s="471"/>
      <c r="AN78" s="471"/>
      <c r="AO78" s="472"/>
      <c r="AP78" s="466"/>
      <c r="AQ78" s="473"/>
      <c r="AR78" s="473"/>
      <c r="AS78" s="473"/>
      <c r="AT78" s="473"/>
      <c r="AU78" s="473"/>
      <c r="AV78" s="473"/>
      <c r="AW78" s="466"/>
      <c r="AY78" s="5"/>
      <c r="AZ78" s="478"/>
      <c r="BA78" s="479" t="s">
        <v>198</v>
      </c>
      <c r="BB78" s="480">
        <v>1.1</v>
      </c>
      <c r="BC78" s="481">
        <v>0.5</v>
      </c>
      <c r="BD78" s="482">
        <v>0.6</v>
      </c>
      <c r="BE78" s="11"/>
      <c r="BF78" s="313"/>
      <c r="BG78" s="318"/>
      <c r="BH78" s="318"/>
      <c r="BI78" s="318"/>
      <c r="BJ78" s="318"/>
      <c r="BK78" s="318"/>
      <c r="BL78" s="318"/>
      <c r="BM78" s="318"/>
      <c r="BN78" s="318"/>
      <c r="BO78" s="318"/>
      <c r="BP78" s="318"/>
      <c r="BQ78" s="318"/>
      <c r="BR78" s="318"/>
      <c r="BS78" s="318"/>
      <c r="BT78" s="318"/>
      <c r="BU78" s="318"/>
      <c r="BV78" s="318"/>
      <c r="BW78" s="318"/>
      <c r="BX78" s="318"/>
      <c r="BY78" s="318"/>
      <c r="BZ78" s="314"/>
      <c r="CA78" s="275"/>
      <c r="CB78" s="276"/>
      <c r="CC78" s="277"/>
    </row>
    <row r="79" s="27" customFormat="1" customHeight="1" spans="2:81">
      <c r="H79" s="401"/>
      <c r="I79" s="401"/>
      <c r="J79" s="261"/>
      <c r="U79" s="422"/>
      <c r="V79" s="422"/>
      <c r="W79" s="471"/>
      <c r="X79" s="471"/>
      <c r="Y79" s="471"/>
      <c r="Z79" s="471"/>
      <c r="AA79" s="471"/>
      <c r="AB79" s="471"/>
      <c r="AC79" s="471"/>
      <c r="AD79" s="471"/>
      <c r="AE79" s="471"/>
      <c r="AF79" s="471"/>
      <c r="AG79" s="471"/>
      <c r="AH79" s="471"/>
      <c r="AI79" s="471"/>
      <c r="AJ79" s="471"/>
      <c r="AK79" s="471"/>
      <c r="AL79" s="471"/>
      <c r="AM79" s="471"/>
      <c r="AN79" s="471"/>
      <c r="AO79" s="472"/>
      <c r="AP79" s="466"/>
      <c r="AQ79" s="473"/>
      <c r="AR79" s="473"/>
      <c r="AS79" s="473"/>
      <c r="AT79" s="473"/>
      <c r="AU79" s="473"/>
      <c r="AV79" s="473"/>
      <c r="AW79" s="466"/>
      <c r="AY79" s="5"/>
      <c r="AZ79" s="483" t="s">
        <v>199</v>
      </c>
      <c r="BA79" s="28" t="s">
        <v>200</v>
      </c>
      <c r="BB79" s="484">
        <v>0.9</v>
      </c>
      <c r="BC79" s="475">
        <v>0.6</v>
      </c>
      <c r="BD79" s="476">
        <v>0.6</v>
      </c>
      <c r="BE79" s="11"/>
      <c r="BF79" s="313"/>
      <c r="BG79" s="318"/>
      <c r="BH79" s="318"/>
      <c r="BI79" s="318"/>
      <c r="BJ79" s="318"/>
      <c r="BK79" s="318"/>
      <c r="BL79" s="318"/>
      <c r="BM79" s="318"/>
      <c r="BN79" s="318"/>
      <c r="BO79" s="318"/>
      <c r="BP79" s="318"/>
      <c r="BQ79" s="318"/>
      <c r="BR79" s="318"/>
      <c r="BS79" s="318"/>
      <c r="BT79" s="318"/>
      <c r="BU79" s="318"/>
      <c r="BV79" s="318"/>
      <c r="BW79" s="318"/>
      <c r="BX79" s="318"/>
      <c r="BY79" s="318"/>
      <c r="BZ79" s="314"/>
      <c r="CA79" s="275"/>
      <c r="CB79" s="276"/>
      <c r="CC79" s="277"/>
    </row>
    <row r="80" s="27" customFormat="1" customHeight="1" spans="2:81">
      <c r="H80" s="401"/>
      <c r="I80" s="401"/>
      <c r="J80" s="261"/>
      <c r="T80" s="396"/>
      <c r="U80" s="422"/>
      <c r="V80" s="422"/>
      <c r="W80" s="471"/>
      <c r="X80" s="471"/>
      <c r="Y80" s="471"/>
      <c r="Z80" s="471"/>
      <c r="AA80" s="471"/>
      <c r="AB80" s="471"/>
      <c r="AC80" s="471"/>
      <c r="AD80" s="471"/>
      <c r="AE80" s="471"/>
      <c r="AF80" s="471"/>
      <c r="AG80" s="471"/>
      <c r="AH80" s="471"/>
      <c r="AI80" s="471"/>
      <c r="AJ80" s="471"/>
      <c r="AK80" s="471"/>
      <c r="AL80" s="471"/>
      <c r="AM80" s="471"/>
      <c r="AN80" s="471"/>
      <c r="AO80" s="472"/>
      <c r="AP80" s="466"/>
      <c r="AQ80" s="473"/>
      <c r="AR80" s="473"/>
      <c r="AS80" s="473"/>
      <c r="AT80" s="473"/>
      <c r="AU80" s="473"/>
      <c r="AV80" s="473"/>
      <c r="AW80" s="466"/>
      <c r="AY80" s="5"/>
      <c r="AZ80" s="483"/>
      <c r="BA80" s="28" t="s">
        <v>201</v>
      </c>
      <c r="BB80" s="484">
        <v>1.3</v>
      </c>
      <c r="BC80" s="475">
        <v>0.8</v>
      </c>
      <c r="BD80" s="476">
        <v>0.8</v>
      </c>
      <c r="BE80" s="11"/>
      <c r="BF80" s="313"/>
      <c r="BG80" s="318"/>
      <c r="BH80" s="318"/>
      <c r="BI80" s="318"/>
      <c r="BJ80" s="318"/>
      <c r="BK80" s="318"/>
      <c r="BL80" s="318"/>
      <c r="BM80" s="318"/>
      <c r="BN80" s="318"/>
      <c r="BO80" s="318"/>
      <c r="BP80" s="318"/>
      <c r="BQ80" s="318"/>
      <c r="BR80" s="318"/>
      <c r="BS80" s="318"/>
      <c r="BT80" s="318"/>
      <c r="BU80" s="318"/>
      <c r="BV80" s="318"/>
      <c r="BW80" s="318"/>
      <c r="BX80" s="318"/>
      <c r="BY80" s="318"/>
      <c r="BZ80" s="314"/>
      <c r="CA80" s="275"/>
      <c r="CB80" s="276"/>
      <c r="CC80" s="277"/>
    </row>
    <row r="81" s="27" customFormat="1" customHeight="1" spans="8:81">
      <c r="H81" s="401"/>
      <c r="I81" s="401"/>
      <c r="J81" s="261"/>
      <c r="T81" s="396"/>
      <c r="U81" s="422"/>
      <c r="V81" s="422"/>
      <c r="W81" s="471"/>
      <c r="X81" s="471"/>
      <c r="Y81" s="471"/>
      <c r="Z81" s="471"/>
      <c r="AA81" s="471"/>
      <c r="AB81" s="471"/>
      <c r="AC81" s="471"/>
      <c r="AD81" s="471"/>
      <c r="AE81" s="471"/>
      <c r="AF81" s="471"/>
      <c r="AG81" s="471"/>
      <c r="AH81" s="471"/>
      <c r="AI81" s="471"/>
      <c r="AJ81" s="471"/>
      <c r="AK81" s="471"/>
      <c r="AL81" s="471"/>
      <c r="AM81" s="471"/>
      <c r="AN81" s="471"/>
      <c r="AO81" s="472"/>
      <c r="AP81" s="466"/>
      <c r="AQ81" s="473"/>
      <c r="AR81" s="473"/>
      <c r="AS81" s="473"/>
      <c r="AT81" s="473"/>
      <c r="AU81" s="473"/>
      <c r="AV81" s="473"/>
      <c r="AW81" s="466"/>
      <c r="AY81" s="5"/>
      <c r="AZ81" s="483"/>
      <c r="BA81" s="485" t="s">
        <v>202</v>
      </c>
      <c r="BB81" s="486">
        <v>5.4</v>
      </c>
      <c r="BC81" s="487">
        <v>3.2</v>
      </c>
      <c r="BD81" s="488">
        <v>3.4</v>
      </c>
      <c r="BE81" s="11"/>
      <c r="BF81" s="313"/>
      <c r="BG81" s="318"/>
      <c r="BH81" s="318"/>
      <c r="BI81" s="318"/>
      <c r="BJ81" s="318"/>
      <c r="BK81" s="318"/>
      <c r="BL81" s="318"/>
      <c r="BM81" s="318"/>
      <c r="BN81" s="318"/>
      <c r="BO81" s="318"/>
      <c r="BP81" s="318"/>
      <c r="BQ81" s="318"/>
      <c r="BR81" s="318"/>
      <c r="BS81" s="318"/>
      <c r="BT81" s="318"/>
      <c r="BU81" s="318"/>
      <c r="BV81" s="318"/>
      <c r="BW81" s="318"/>
      <c r="BX81" s="318"/>
      <c r="BY81" s="318"/>
      <c r="BZ81" s="314"/>
      <c r="CA81" s="275"/>
      <c r="CB81" s="276"/>
      <c r="CC81" s="277"/>
    </row>
    <row r="82" s="27" customFormat="1" customHeight="1" spans="8:81">
      <c r="H82" s="401"/>
      <c r="I82" s="401"/>
      <c r="J82" s="261"/>
      <c r="T82" s="396"/>
      <c r="U82" s="422"/>
      <c r="V82" s="422"/>
      <c r="W82" s="471"/>
      <c r="X82" s="471"/>
      <c r="Y82" s="471"/>
      <c r="Z82" s="471"/>
      <c r="AA82" s="471"/>
      <c r="AB82" s="471"/>
      <c r="AC82" s="471"/>
      <c r="AD82" s="471"/>
      <c r="AE82" s="471"/>
      <c r="AF82" s="471"/>
      <c r="AG82" s="471"/>
      <c r="AH82" s="471"/>
      <c r="AI82" s="471"/>
      <c r="AJ82" s="471"/>
      <c r="AK82" s="471"/>
      <c r="AL82" s="471"/>
      <c r="AM82" s="471"/>
      <c r="AN82" s="471"/>
      <c r="AO82" s="472"/>
      <c r="AP82" s="466"/>
      <c r="AQ82" s="473"/>
      <c r="AR82" s="473"/>
      <c r="AS82" s="473"/>
      <c r="AT82" s="473"/>
      <c r="AU82" s="473"/>
      <c r="AV82" s="473"/>
      <c r="AW82" s="466"/>
      <c r="AY82" s="5"/>
      <c r="AZ82" s="489" t="s">
        <v>203</v>
      </c>
      <c r="BA82" s="479" t="s">
        <v>204</v>
      </c>
      <c r="BB82" s="480">
        <v>1.3</v>
      </c>
      <c r="BC82" s="481">
        <v>1.1</v>
      </c>
      <c r="BD82" s="482">
        <v>1</v>
      </c>
      <c r="BE82" s="11"/>
      <c r="BF82" s="313"/>
      <c r="BG82" s="318"/>
      <c r="BH82" s="318"/>
      <c r="BI82" s="318"/>
      <c r="BJ82" s="318"/>
      <c r="BK82" s="318"/>
      <c r="BL82" s="318"/>
      <c r="BM82" s="318"/>
      <c r="BN82" s="318"/>
      <c r="BO82" s="318"/>
      <c r="BP82" s="318"/>
      <c r="BQ82" s="318"/>
      <c r="BR82" s="318"/>
      <c r="BS82" s="318"/>
      <c r="BT82" s="318"/>
      <c r="BU82" s="318"/>
      <c r="BV82" s="318"/>
      <c r="BW82" s="318"/>
      <c r="BX82" s="318"/>
      <c r="BY82" s="318"/>
      <c r="BZ82" s="314"/>
      <c r="CA82" s="275"/>
      <c r="CB82" s="276"/>
      <c r="CC82" s="277"/>
    </row>
    <row r="83" s="27" customFormat="1" customHeight="1" spans="8:81">
      <c r="H83" s="401"/>
      <c r="I83" s="401"/>
      <c r="J83" s="261"/>
      <c r="T83" s="396"/>
      <c r="U83" s="422"/>
      <c r="V83" s="422"/>
      <c r="W83" s="471"/>
      <c r="X83" s="471"/>
      <c r="Y83" s="471"/>
      <c r="Z83" s="471"/>
      <c r="AA83" s="471"/>
      <c r="AB83" s="471"/>
      <c r="AC83" s="471"/>
      <c r="AD83" s="471"/>
      <c r="AE83" s="471"/>
      <c r="AF83" s="471"/>
      <c r="AG83" s="471"/>
      <c r="AH83" s="471"/>
      <c r="AI83" s="471"/>
      <c r="AJ83" s="471"/>
      <c r="AK83" s="471"/>
      <c r="AL83" s="471"/>
      <c r="AM83" s="471"/>
      <c r="AN83" s="471"/>
      <c r="AO83" s="472"/>
      <c r="AP83" s="466"/>
      <c r="AQ83" s="473"/>
      <c r="AR83" s="473"/>
      <c r="AS83" s="473"/>
      <c r="AT83" s="473"/>
      <c r="AU83" s="473"/>
      <c r="AV83" s="473"/>
      <c r="AW83" s="466"/>
      <c r="AY83" s="5"/>
      <c r="AZ83" s="489"/>
      <c r="BA83" s="479" t="s">
        <v>205</v>
      </c>
      <c r="BB83" s="480">
        <v>3.4</v>
      </c>
      <c r="BC83" s="481">
        <v>3</v>
      </c>
      <c r="BD83" s="482">
        <v>3.3</v>
      </c>
      <c r="BE83" s="11"/>
      <c r="BF83" s="313"/>
      <c r="BG83" s="318"/>
      <c r="BH83" s="318"/>
      <c r="BI83" s="318"/>
      <c r="BJ83" s="318"/>
      <c r="BK83" s="318"/>
      <c r="BL83" s="318"/>
      <c r="BM83" s="318"/>
      <c r="BN83" s="318"/>
      <c r="BO83" s="318"/>
      <c r="BP83" s="318"/>
      <c r="BQ83" s="318"/>
      <c r="BR83" s="318"/>
      <c r="BS83" s="318"/>
      <c r="BT83" s="318"/>
      <c r="BU83" s="318"/>
      <c r="BV83" s="318"/>
      <c r="BW83" s="318"/>
      <c r="BX83" s="318"/>
      <c r="BY83" s="318"/>
      <c r="BZ83" s="314"/>
      <c r="CA83" s="275"/>
      <c r="CB83" s="276"/>
      <c r="CC83" s="277"/>
    </row>
    <row r="84" s="27" customFormat="1" customHeight="1" spans="8:81">
      <c r="H84" s="401"/>
      <c r="I84" s="401"/>
      <c r="J84" s="261"/>
      <c r="U84" s="422"/>
      <c r="V84" s="422"/>
      <c r="W84" s="471"/>
      <c r="X84" s="471"/>
      <c r="Y84" s="471"/>
      <c r="Z84" s="471"/>
      <c r="AA84" s="471"/>
      <c r="AB84" s="471"/>
      <c r="AC84" s="471"/>
      <c r="AD84" s="471"/>
      <c r="AE84" s="471"/>
      <c r="AF84" s="471"/>
      <c r="AG84" s="471"/>
      <c r="AH84" s="471"/>
      <c r="AI84" s="471"/>
      <c r="AJ84" s="471"/>
      <c r="AK84" s="471"/>
      <c r="AL84" s="471"/>
      <c r="AM84" s="471"/>
      <c r="AN84" s="471"/>
      <c r="AO84" s="472"/>
      <c r="AP84" s="466"/>
      <c r="AQ84" s="473"/>
      <c r="AR84" s="473"/>
      <c r="AS84" s="473"/>
      <c r="AT84" s="473"/>
      <c r="AU84" s="473"/>
      <c r="AV84" s="473"/>
      <c r="AW84" s="466"/>
      <c r="AY84" s="5"/>
      <c r="AZ84" s="474"/>
      <c r="BA84" s="28" t="s">
        <v>206</v>
      </c>
      <c r="BB84" s="475">
        <v>7</v>
      </c>
      <c r="BC84" s="475">
        <v>7.1</v>
      </c>
      <c r="BD84" s="476">
        <v>7.6</v>
      </c>
      <c r="BE84" s="11"/>
      <c r="BF84" s="313"/>
      <c r="BG84" s="318"/>
      <c r="BH84" s="318"/>
      <c r="BI84" s="318"/>
      <c r="BJ84" s="318"/>
      <c r="BK84" s="318"/>
      <c r="BL84" s="318"/>
      <c r="BM84" s="318"/>
      <c r="BN84" s="318"/>
      <c r="BO84" s="318"/>
      <c r="BP84" s="318"/>
      <c r="BQ84" s="318"/>
      <c r="BR84" s="318"/>
      <c r="BS84" s="318"/>
      <c r="BT84" s="318"/>
      <c r="BU84" s="318"/>
      <c r="BV84" s="318"/>
      <c r="BW84" s="318"/>
      <c r="BX84" s="318"/>
      <c r="BY84" s="318"/>
      <c r="BZ84" s="314"/>
      <c r="CA84" s="275"/>
      <c r="CB84" s="276"/>
      <c r="CC84" s="277"/>
    </row>
    <row r="85" s="27" customFormat="1" customHeight="1" spans="8:81">
      <c r="H85" s="401"/>
      <c r="I85" s="401"/>
      <c r="J85" s="261"/>
      <c r="T85" s="396"/>
      <c r="U85" s="422"/>
      <c r="V85" s="422"/>
      <c r="W85" s="471"/>
      <c r="X85" s="471"/>
      <c r="Y85" s="471"/>
      <c r="Z85" s="471"/>
      <c r="AA85" s="471"/>
      <c r="AB85" s="471"/>
      <c r="AC85" s="471"/>
      <c r="AD85" s="471"/>
      <c r="AE85" s="471"/>
      <c r="AF85" s="471"/>
      <c r="AG85" s="471"/>
      <c r="AH85" s="471"/>
      <c r="AI85" s="471"/>
      <c r="AJ85" s="471"/>
      <c r="AK85" s="471"/>
      <c r="AL85" s="471"/>
      <c r="AM85" s="471"/>
      <c r="AN85" s="471"/>
      <c r="AO85" s="472"/>
      <c r="AP85" s="466"/>
      <c r="AQ85" s="473"/>
      <c r="AR85" s="473"/>
      <c r="AS85" s="473"/>
      <c r="AT85" s="473"/>
      <c r="AU85" s="473"/>
      <c r="AV85" s="473"/>
      <c r="AW85" s="466"/>
      <c r="AY85" s="5"/>
      <c r="AZ85" s="474"/>
      <c r="BA85" s="28" t="s">
        <v>207</v>
      </c>
      <c r="BB85" s="475">
        <v>17.5</v>
      </c>
      <c r="BC85" s="475">
        <v>17.1</v>
      </c>
      <c r="BD85" s="476">
        <v>18.8</v>
      </c>
      <c r="BE85" s="11"/>
      <c r="BF85" s="313"/>
      <c r="BG85" s="318"/>
      <c r="BH85" s="318"/>
      <c r="BI85" s="318"/>
      <c r="BJ85" s="318"/>
      <c r="BK85" s="318"/>
      <c r="BL85" s="318"/>
      <c r="BM85" s="318"/>
      <c r="BN85" s="318"/>
      <c r="BO85" s="318"/>
      <c r="BP85" s="318"/>
      <c r="BQ85" s="318"/>
      <c r="BR85" s="318"/>
      <c r="BS85" s="318"/>
      <c r="BT85" s="318"/>
      <c r="BU85" s="318"/>
      <c r="BV85" s="318"/>
      <c r="BW85" s="318"/>
      <c r="BX85" s="318"/>
      <c r="BY85" s="318"/>
      <c r="BZ85" s="314"/>
      <c r="CA85" s="275"/>
      <c r="CB85" s="276"/>
      <c r="CC85" s="277"/>
    </row>
    <row r="86" s="27" customFormat="1" customHeight="1" spans="8:81">
      <c r="H86" s="401"/>
      <c r="I86" s="401"/>
      <c r="J86" s="261"/>
      <c r="T86" s="396"/>
      <c r="U86" s="422"/>
      <c r="V86" s="422"/>
      <c r="W86" s="471"/>
      <c r="X86" s="471"/>
      <c r="Y86" s="471"/>
      <c r="Z86" s="471"/>
      <c r="AA86" s="471"/>
      <c r="AB86" s="471"/>
      <c r="AC86" s="471"/>
      <c r="AD86" s="471"/>
      <c r="AE86" s="471"/>
      <c r="AF86" s="471"/>
      <c r="AG86" s="471"/>
      <c r="AH86" s="471"/>
      <c r="AI86" s="471"/>
      <c r="AJ86" s="471"/>
      <c r="AK86" s="471"/>
      <c r="AL86" s="471"/>
      <c r="AM86" s="471"/>
      <c r="AN86" s="471"/>
      <c r="AO86" s="472"/>
      <c r="AP86" s="466"/>
      <c r="AQ86" s="473"/>
      <c r="AR86" s="473"/>
      <c r="AS86" s="473"/>
      <c r="AT86" s="473"/>
      <c r="AU86" s="473"/>
      <c r="AV86" s="473"/>
      <c r="AW86" s="466"/>
      <c r="AY86" s="5"/>
      <c r="AZ86" s="474"/>
      <c r="BA86" s="28" t="s">
        <v>208</v>
      </c>
      <c r="BB86" s="475">
        <v>24.6</v>
      </c>
      <c r="BC86" s="475">
        <v>24.6</v>
      </c>
      <c r="BD86" s="476">
        <v>26.2</v>
      </c>
      <c r="BE86" s="11"/>
      <c r="BF86" s="313"/>
      <c r="BG86" s="318"/>
      <c r="BH86" s="318"/>
      <c r="BI86" s="318"/>
      <c r="BJ86" s="318"/>
      <c r="BK86" s="318"/>
      <c r="BL86" s="318"/>
      <c r="BM86" s="318"/>
      <c r="BN86" s="318"/>
      <c r="BO86" s="318"/>
      <c r="BP86" s="318"/>
      <c r="BQ86" s="318"/>
      <c r="BR86" s="318"/>
      <c r="BS86" s="318"/>
      <c r="BT86" s="318"/>
      <c r="BU86" s="318"/>
      <c r="BV86" s="318"/>
      <c r="BW86" s="318"/>
      <c r="BX86" s="318"/>
      <c r="BY86" s="318"/>
      <c r="BZ86" s="314"/>
      <c r="CA86" s="275"/>
      <c r="CB86" s="276"/>
      <c r="CC86" s="277"/>
    </row>
    <row r="87" s="27" customFormat="1" customHeight="1" spans="8:81">
      <c r="H87" s="401"/>
      <c r="I87" s="401"/>
      <c r="J87" s="261"/>
      <c r="T87" s="396"/>
      <c r="U87" s="422"/>
      <c r="V87" s="490"/>
      <c r="W87" s="471"/>
      <c r="X87" s="471"/>
      <c r="Y87" s="471"/>
      <c r="Z87" s="471"/>
      <c r="AA87" s="471"/>
      <c r="AB87" s="471"/>
      <c r="AC87" s="471"/>
      <c r="AD87" s="471"/>
      <c r="AE87" s="471"/>
      <c r="AF87" s="471"/>
      <c r="AG87" s="471"/>
      <c r="AH87" s="471"/>
      <c r="AI87" s="471"/>
      <c r="AJ87" s="471"/>
      <c r="AK87" s="471"/>
      <c r="AL87" s="471"/>
      <c r="AM87" s="471"/>
      <c r="AN87" s="471"/>
      <c r="AO87" s="472"/>
      <c r="AP87" s="466"/>
      <c r="AQ87" s="473"/>
      <c r="AR87" s="473"/>
      <c r="AS87" s="473"/>
      <c r="AT87" s="473"/>
      <c r="AU87" s="473"/>
      <c r="AV87" s="473"/>
      <c r="AW87" s="466"/>
      <c r="AY87" s="5"/>
      <c r="AZ87" s="474"/>
      <c r="BA87" s="28" t="s">
        <v>209</v>
      </c>
      <c r="BB87" s="475">
        <v>24.6</v>
      </c>
      <c r="BC87" s="475">
        <v>29.7</v>
      </c>
      <c r="BD87" s="476">
        <v>26.4</v>
      </c>
      <c r="BE87" s="11"/>
      <c r="BF87" s="313"/>
      <c r="BG87" s="318"/>
      <c r="BH87" s="318"/>
      <c r="BI87" s="318"/>
      <c r="BJ87" s="318"/>
      <c r="BK87" s="318"/>
      <c r="BL87" s="318"/>
      <c r="BM87" s="318"/>
      <c r="BN87" s="318"/>
      <c r="BO87" s="318"/>
      <c r="BP87" s="318"/>
      <c r="BQ87" s="318"/>
      <c r="BR87" s="318"/>
      <c r="BS87" s="318"/>
      <c r="BT87" s="318"/>
      <c r="BU87" s="318"/>
      <c r="BV87" s="318"/>
      <c r="BW87" s="318"/>
      <c r="BX87" s="318"/>
      <c r="BY87" s="318"/>
      <c r="BZ87" s="314"/>
      <c r="CA87" s="275"/>
      <c r="CB87" s="276"/>
      <c r="CC87" s="277"/>
    </row>
    <row r="88" s="27" customFormat="1" customHeight="1" spans="8:81">
      <c r="H88" s="401"/>
      <c r="I88" s="401"/>
      <c r="J88" s="261"/>
      <c r="T88" s="396"/>
      <c r="U88" s="422"/>
      <c r="V88" s="490"/>
      <c r="W88" s="471"/>
      <c r="X88" s="471"/>
      <c r="Y88" s="471"/>
      <c r="Z88" s="471"/>
      <c r="AA88" s="471"/>
      <c r="AB88" s="471"/>
      <c r="AC88" s="471"/>
      <c r="AD88" s="471"/>
      <c r="AE88" s="471"/>
      <c r="AF88" s="471"/>
      <c r="AG88" s="471"/>
      <c r="AH88" s="471"/>
      <c r="AI88" s="471"/>
      <c r="AJ88" s="471"/>
      <c r="AK88" s="471"/>
      <c r="AL88" s="471"/>
      <c r="AM88" s="471"/>
      <c r="AN88" s="471"/>
      <c r="AO88" s="472"/>
      <c r="AP88" s="466"/>
      <c r="AQ88" s="473"/>
      <c r="AR88" s="473"/>
      <c r="AS88" s="473"/>
      <c r="AT88" s="473"/>
      <c r="AU88" s="473"/>
      <c r="AV88" s="473"/>
      <c r="AW88" s="466"/>
      <c r="AY88" s="5"/>
      <c r="AZ88" s="474"/>
      <c r="BA88" s="28" t="s">
        <v>210</v>
      </c>
      <c r="BB88" s="475">
        <v>18</v>
      </c>
      <c r="BC88" s="475">
        <v>14.3</v>
      </c>
      <c r="BD88" s="476">
        <v>13.3</v>
      </c>
      <c r="BE88" s="11"/>
      <c r="BF88" s="313"/>
      <c r="BG88" s="318"/>
      <c r="BH88" s="318"/>
      <c r="BI88" s="318"/>
      <c r="BJ88" s="318"/>
      <c r="BK88" s="318"/>
      <c r="BL88" s="318"/>
      <c r="BM88" s="318"/>
      <c r="BN88" s="318"/>
      <c r="BO88" s="318"/>
      <c r="BP88" s="318"/>
      <c r="BQ88" s="318"/>
      <c r="BR88" s="318"/>
      <c r="BS88" s="318"/>
      <c r="BT88" s="318"/>
      <c r="BU88" s="318"/>
      <c r="BV88" s="318"/>
      <c r="BW88" s="318"/>
      <c r="BX88" s="318"/>
      <c r="BY88" s="318"/>
      <c r="BZ88" s="314"/>
      <c r="CA88" s="275"/>
      <c r="CB88" s="276"/>
      <c r="CC88" s="277"/>
    </row>
    <row r="89" s="27" customFormat="1" customHeight="1" spans="8:81">
      <c r="H89" s="401"/>
      <c r="I89" s="401"/>
      <c r="J89" s="261"/>
      <c r="T89" s="396"/>
      <c r="U89" s="491" t="s">
        <v>211</v>
      </c>
      <c r="V89" s="490"/>
      <c r="W89" s="471"/>
      <c r="X89" s="471"/>
      <c r="Y89" s="471"/>
      <c r="Z89" s="471"/>
      <c r="AA89" s="471"/>
      <c r="AB89" s="471"/>
      <c r="AC89" s="471"/>
      <c r="AD89" s="471"/>
      <c r="AE89" s="471"/>
      <c r="AF89" s="471"/>
      <c r="AG89" s="471"/>
      <c r="AH89" s="471"/>
      <c r="AI89" s="471"/>
      <c r="AJ89" s="471"/>
      <c r="AK89" s="471"/>
      <c r="AL89" s="471"/>
      <c r="AM89" s="471"/>
      <c r="AN89" s="471"/>
      <c r="AO89" s="472"/>
      <c r="AP89" s="466"/>
      <c r="AQ89" s="473"/>
      <c r="AR89" s="473"/>
      <c r="AS89" s="473"/>
      <c r="AT89" s="473"/>
      <c r="AU89" s="473"/>
      <c r="AV89" s="473"/>
      <c r="AW89" s="466"/>
      <c r="AY89" s="5"/>
      <c r="AZ89" s="492" t="s">
        <v>212</v>
      </c>
      <c r="BA89" s="493"/>
      <c r="BB89" s="493"/>
      <c r="BC89" s="493"/>
      <c r="BD89" s="494"/>
      <c r="BE89" s="11"/>
      <c r="BF89" s="313"/>
      <c r="BG89" s="318"/>
      <c r="BH89" s="318"/>
      <c r="BI89" s="318"/>
      <c r="BJ89" s="318"/>
      <c r="BK89" s="318"/>
      <c r="BL89" s="318"/>
      <c r="BM89" s="318"/>
      <c r="BN89" s="318"/>
      <c r="BO89" s="318"/>
      <c r="BP89" s="318"/>
      <c r="BQ89" s="318"/>
      <c r="BR89" s="318"/>
      <c r="BS89" s="318"/>
      <c r="BT89" s="318"/>
      <c r="BU89" s="318"/>
      <c r="BV89" s="318"/>
      <c r="BW89" s="318"/>
      <c r="BX89" s="318"/>
      <c r="BY89" s="318"/>
      <c r="BZ89" s="314"/>
      <c r="CA89" s="275"/>
      <c r="CB89" s="276"/>
      <c r="CC89" s="277"/>
    </row>
    <row r="90" s="27" customFormat="1" customHeight="1" spans="8:81">
      <c r="H90" s="401"/>
      <c r="I90" s="401"/>
      <c r="J90" s="261"/>
      <c r="T90" s="396"/>
      <c r="U90" s="495"/>
      <c r="V90" s="490"/>
      <c r="W90" s="471"/>
      <c r="X90" s="471"/>
      <c r="Y90" s="471"/>
      <c r="Z90" s="471"/>
      <c r="AA90" s="471"/>
      <c r="AB90" s="471"/>
      <c r="AC90" s="471"/>
      <c r="AD90" s="471"/>
      <c r="AE90" s="471"/>
      <c r="AF90" s="471"/>
      <c r="AG90" s="471"/>
      <c r="AH90" s="471"/>
      <c r="AI90" s="471"/>
      <c r="AJ90" s="471"/>
      <c r="AK90" s="471"/>
      <c r="AL90" s="471"/>
      <c r="AM90" s="471"/>
      <c r="AN90" s="471"/>
      <c r="AO90" s="472"/>
      <c r="AP90" s="466"/>
      <c r="AQ90" s="473"/>
      <c r="AR90" s="473"/>
      <c r="AS90" s="473"/>
      <c r="AT90" s="473"/>
      <c r="AU90" s="473"/>
      <c r="AV90" s="473"/>
      <c r="AW90" s="466"/>
      <c r="AY90" s="5"/>
      <c r="AZ90" s="492"/>
      <c r="BA90" s="493"/>
      <c r="BB90" s="493"/>
      <c r="BC90" s="493"/>
      <c r="BD90" s="494"/>
      <c r="BE90" s="11"/>
      <c r="BF90" s="313"/>
      <c r="BG90" s="318"/>
      <c r="BH90" s="318"/>
      <c r="BI90" s="318"/>
      <c r="BJ90" s="318"/>
      <c r="BK90" s="318"/>
      <c r="BL90" s="318"/>
      <c r="BM90" s="318"/>
      <c r="BN90" s="318"/>
      <c r="BO90" s="318"/>
      <c r="BP90" s="318"/>
      <c r="BQ90" s="318"/>
      <c r="BR90" s="318"/>
      <c r="BS90" s="318"/>
      <c r="BT90" s="318"/>
      <c r="BU90" s="318"/>
      <c r="BV90" s="318"/>
      <c r="BW90" s="318"/>
      <c r="BX90" s="318"/>
      <c r="BY90" s="318"/>
      <c r="BZ90" s="314"/>
      <c r="CA90" s="275"/>
      <c r="CB90" s="276"/>
      <c r="CC90" s="277"/>
    </row>
    <row r="91" s="27" customFormat="1" customHeight="1" spans="8:81">
      <c r="H91" s="401"/>
      <c r="I91" s="401"/>
      <c r="J91" s="261"/>
      <c r="T91" s="396"/>
      <c r="U91" s="495"/>
      <c r="V91" s="490"/>
      <c r="W91" s="471"/>
      <c r="X91" s="471"/>
      <c r="Y91" s="471"/>
      <c r="Z91" s="471"/>
      <c r="AA91" s="471"/>
      <c r="AB91" s="471"/>
      <c r="AC91" s="471"/>
      <c r="AD91" s="471"/>
      <c r="AE91" s="471"/>
      <c r="AF91" s="471"/>
      <c r="AG91" s="471"/>
      <c r="AH91" s="471"/>
      <c r="AI91" s="471"/>
      <c r="AJ91" s="471"/>
      <c r="AK91" s="471"/>
      <c r="AL91" s="471"/>
      <c r="AM91" s="471"/>
      <c r="AN91" s="471"/>
      <c r="AO91" s="472"/>
      <c r="AP91" s="466"/>
      <c r="AQ91" s="466"/>
      <c r="AR91" s="466"/>
      <c r="AS91" s="466"/>
      <c r="AT91" s="466"/>
      <c r="AU91" s="466"/>
      <c r="AV91" s="466"/>
      <c r="AW91" s="466"/>
      <c r="AY91" s="5"/>
      <c r="AZ91" s="492"/>
      <c r="BA91" s="493"/>
      <c r="BB91" s="493"/>
      <c r="BC91" s="493"/>
      <c r="BD91" s="494"/>
      <c r="BE91" s="11"/>
      <c r="BF91" s="313"/>
      <c r="BG91" s="318"/>
      <c r="BH91" s="318"/>
      <c r="BI91" s="318"/>
      <c r="BJ91" s="318"/>
      <c r="BK91" s="318"/>
      <c r="BL91" s="318"/>
      <c r="BM91" s="318"/>
      <c r="BN91" s="318"/>
      <c r="BO91" s="318"/>
      <c r="BP91" s="318"/>
      <c r="BQ91" s="318"/>
      <c r="BR91" s="318"/>
      <c r="BS91" s="318"/>
      <c r="BT91" s="318"/>
      <c r="BU91" s="318"/>
      <c r="BV91" s="318"/>
      <c r="BW91" s="318"/>
      <c r="BX91" s="318"/>
      <c r="BY91" s="318"/>
      <c r="BZ91" s="314"/>
      <c r="CA91" s="275"/>
      <c r="CB91" s="276"/>
      <c r="CC91" s="277"/>
    </row>
    <row r="92" s="27" customFormat="1" customHeight="1" spans="8:81">
      <c r="H92" s="401"/>
      <c r="I92" s="401"/>
      <c r="J92" s="261"/>
      <c r="T92" s="396"/>
      <c r="U92" s="495"/>
      <c r="V92" s="490"/>
      <c r="W92" s="496" t="s">
        <v>213</v>
      </c>
      <c r="X92" s="497"/>
      <c r="Y92" s="498"/>
      <c r="Z92" s="499" t="s">
        <v>214</v>
      </c>
      <c r="AA92" s="500" t="s">
        <v>215</v>
      </c>
      <c r="AB92" s="501" t="s">
        <v>216</v>
      </c>
      <c r="AC92" s="156" t="s">
        <v>217</v>
      </c>
      <c r="AD92" s="156"/>
      <c r="AE92" s="156"/>
      <c r="AF92" s="156"/>
      <c r="AG92" s="156"/>
      <c r="AH92" s="156"/>
      <c r="AI92" s="156"/>
      <c r="AJ92" s="156"/>
      <c r="AK92" s="156"/>
      <c r="AL92" s="156"/>
      <c r="AM92" s="156"/>
      <c r="AN92" s="156"/>
      <c r="AO92" s="156"/>
      <c r="AP92" s="156"/>
      <c r="AQ92" s="156"/>
      <c r="AR92" s="156"/>
      <c r="AS92" s="156"/>
      <c r="AT92" s="156"/>
      <c r="AU92" s="156"/>
      <c r="AV92" s="156"/>
      <c r="AW92" s="157"/>
      <c r="AY92" s="5"/>
      <c r="AZ92" s="492"/>
      <c r="BA92" s="493"/>
      <c r="BB92" s="493"/>
      <c r="BC92" s="493"/>
      <c r="BD92" s="494"/>
      <c r="BE92" s="11"/>
      <c r="BF92" s="313"/>
      <c r="BG92" s="318"/>
      <c r="BH92" s="318"/>
      <c r="BI92" s="318"/>
      <c r="BJ92" s="318"/>
      <c r="BK92" s="318"/>
      <c r="BL92" s="318"/>
      <c r="BM92" s="318"/>
      <c r="BN92" s="318"/>
      <c r="BO92" s="318"/>
      <c r="BP92" s="318"/>
      <c r="BQ92" s="318"/>
      <c r="BR92" s="318"/>
      <c r="BS92" s="318"/>
      <c r="BT92" s="318"/>
      <c r="BU92" s="318"/>
      <c r="BV92" s="318"/>
      <c r="BW92" s="318"/>
      <c r="BX92" s="318"/>
      <c r="BY92" s="318"/>
      <c r="BZ92" s="314"/>
      <c r="CA92" s="275"/>
      <c r="CB92" s="276"/>
      <c r="CC92" s="277"/>
    </row>
    <row r="93" s="27" customFormat="1" customHeight="1" spans="8:81">
      <c r="H93" s="401"/>
      <c r="I93" s="401"/>
      <c r="J93" s="261"/>
      <c r="T93" s="396"/>
      <c r="U93" s="495"/>
      <c r="V93" s="490"/>
      <c r="W93" s="502"/>
      <c r="X93" s="503"/>
      <c r="Y93" s="504"/>
      <c r="Z93" s="505"/>
      <c r="AA93" s="506"/>
      <c r="AB93" s="507"/>
      <c r="AC93" s="161"/>
      <c r="AD93" s="161"/>
      <c r="AE93" s="161"/>
      <c r="AF93" s="161"/>
      <c r="AG93" s="161"/>
      <c r="AH93" s="161"/>
      <c r="AI93" s="161"/>
      <c r="AJ93" s="161"/>
      <c r="AK93" s="161"/>
      <c r="AL93" s="161"/>
      <c r="AM93" s="161"/>
      <c r="AN93" s="161"/>
      <c r="AO93" s="161"/>
      <c r="AP93" s="161"/>
      <c r="AQ93" s="161"/>
      <c r="AR93" s="161"/>
      <c r="AS93" s="161"/>
      <c r="AT93" s="161"/>
      <c r="AU93" s="161"/>
      <c r="AV93" s="161"/>
      <c r="AW93" s="162"/>
      <c r="AY93" s="5"/>
      <c r="AZ93" s="492"/>
      <c r="BA93" s="493"/>
      <c r="BB93" s="493"/>
      <c r="BC93" s="493"/>
      <c r="BD93" s="494"/>
      <c r="BE93" s="11"/>
      <c r="BF93" s="313"/>
      <c r="BG93" s="318"/>
      <c r="BH93" s="318"/>
      <c r="BI93" s="318"/>
      <c r="BJ93" s="318"/>
      <c r="BK93" s="318"/>
      <c r="BL93" s="318"/>
      <c r="BM93" s="318"/>
      <c r="BN93" s="318"/>
      <c r="BO93" s="318"/>
      <c r="BP93" s="318"/>
      <c r="BQ93" s="318"/>
      <c r="BR93" s="318"/>
      <c r="BS93" s="318"/>
      <c r="BT93" s="318"/>
      <c r="BU93" s="318"/>
      <c r="BV93" s="318"/>
      <c r="BW93" s="318"/>
      <c r="BX93" s="318"/>
      <c r="BY93" s="318"/>
      <c r="BZ93" s="508"/>
      <c r="CA93" s="275"/>
      <c r="CB93" s="276"/>
      <c r="CC93" s="277"/>
    </row>
    <row r="94" s="27" customFormat="1" customHeight="1" spans="8:81">
      <c r="H94" s="401"/>
      <c r="I94" s="401"/>
      <c r="J94" s="261"/>
      <c r="T94" s="396"/>
      <c r="U94" s="495"/>
      <c r="V94" s="490"/>
      <c r="W94" s="502"/>
      <c r="X94" s="503"/>
      <c r="Y94" s="504"/>
      <c r="Z94" s="505"/>
      <c r="AA94" s="506"/>
      <c r="AB94" s="507"/>
      <c r="AC94" s="161"/>
      <c r="AD94" s="161"/>
      <c r="AE94" s="161"/>
      <c r="AF94" s="161"/>
      <c r="AG94" s="161"/>
      <c r="AH94" s="161"/>
      <c r="AI94" s="161"/>
      <c r="AJ94" s="161"/>
      <c r="AK94" s="161"/>
      <c r="AL94" s="161"/>
      <c r="AM94" s="161"/>
      <c r="AN94" s="161"/>
      <c r="AO94" s="161"/>
      <c r="AP94" s="161"/>
      <c r="AQ94" s="161"/>
      <c r="AR94" s="161"/>
      <c r="AS94" s="161"/>
      <c r="AT94" s="161"/>
      <c r="AU94" s="161"/>
      <c r="AV94" s="161"/>
      <c r="AW94" s="162"/>
      <c r="AY94" s="5"/>
      <c r="AZ94" s="492"/>
      <c r="BA94" s="493"/>
      <c r="BB94" s="493"/>
      <c r="BC94" s="493"/>
      <c r="BD94" s="494"/>
      <c r="BE94" s="11"/>
      <c r="BF94" s="313"/>
      <c r="BG94" s="318"/>
      <c r="BH94" s="318"/>
      <c r="BI94" s="318"/>
      <c r="BJ94" s="318"/>
      <c r="BK94" s="318"/>
      <c r="BL94" s="318"/>
      <c r="BM94" s="318"/>
      <c r="BN94" s="318"/>
      <c r="BO94" s="318"/>
      <c r="BP94" s="318"/>
      <c r="BQ94" s="318"/>
      <c r="BR94" s="318"/>
      <c r="BS94" s="318"/>
      <c r="BT94" s="318"/>
      <c r="BU94" s="318"/>
      <c r="BV94" s="318"/>
      <c r="BW94" s="318"/>
      <c r="BX94" s="318"/>
      <c r="BY94" s="318"/>
      <c r="BZ94" s="508"/>
      <c r="CA94" s="275"/>
      <c r="CB94" s="276"/>
      <c r="CC94" s="277"/>
    </row>
    <row r="95" s="27" customFormat="1" customHeight="1" spans="8:81">
      <c r="J95" s="261"/>
      <c r="T95" s="396"/>
      <c r="U95" s="495"/>
      <c r="V95" s="490"/>
      <c r="W95" s="502"/>
      <c r="X95" s="503"/>
      <c r="Y95" s="504"/>
      <c r="Z95" s="505"/>
      <c r="AA95" s="506"/>
      <c r="AB95" s="507"/>
      <c r="AC95" s="163"/>
      <c r="AD95" s="163"/>
      <c r="AE95" s="163"/>
      <c r="AF95" s="163"/>
      <c r="AG95" s="163"/>
      <c r="AH95" s="163"/>
      <c r="AI95" s="163"/>
      <c r="AJ95" s="163"/>
      <c r="AK95" s="163"/>
      <c r="AL95" s="163"/>
      <c r="AM95" s="163"/>
      <c r="AN95" s="163"/>
      <c r="AO95" s="163"/>
      <c r="AP95" s="163"/>
      <c r="AQ95" s="163"/>
      <c r="AR95" s="163"/>
      <c r="AS95" s="163"/>
      <c r="AT95" s="163"/>
      <c r="AU95" s="163"/>
      <c r="AV95" s="163"/>
      <c r="AW95" s="164"/>
      <c r="AY95" s="5"/>
      <c r="AZ95" s="492"/>
      <c r="BA95" s="493"/>
      <c r="BB95" s="493"/>
      <c r="BC95" s="493"/>
      <c r="BD95" s="494"/>
      <c r="BE95" s="11"/>
      <c r="BF95" s="313"/>
      <c r="BG95" s="318"/>
      <c r="BH95" s="318"/>
      <c r="BI95" s="318"/>
      <c r="BJ95" s="318"/>
      <c r="BK95" s="318"/>
      <c r="BL95" s="318"/>
      <c r="BM95" s="318"/>
      <c r="BN95" s="318"/>
      <c r="BO95" s="318"/>
      <c r="BP95" s="318"/>
      <c r="BQ95" s="318"/>
      <c r="BR95" s="318"/>
      <c r="BS95" s="318"/>
      <c r="BT95" s="318"/>
      <c r="BU95" s="318"/>
      <c r="BV95" s="318"/>
      <c r="BW95" s="318"/>
      <c r="BX95" s="318"/>
      <c r="BY95" s="318"/>
      <c r="BZ95" s="11"/>
      <c r="CA95" s="275"/>
      <c r="CB95" s="276"/>
      <c r="CC95" s="277"/>
    </row>
    <row r="96" s="27" customFormat="1" customHeight="1" spans="8:81">
      <c r="J96" s="261"/>
      <c r="T96" s="396"/>
      <c r="U96" s="495"/>
      <c r="V96" s="490"/>
      <c r="W96" s="502"/>
      <c r="X96" s="503"/>
      <c r="Y96" s="504"/>
      <c r="Z96" s="505"/>
      <c r="AA96" s="506"/>
      <c r="AB96" s="507"/>
      <c r="AC96" s="165" t="s">
        <v>218</v>
      </c>
      <c r="AD96" s="509" t="s">
        <v>219</v>
      </c>
      <c r="AE96" s="509"/>
      <c r="AF96" s="509"/>
      <c r="AG96" s="510" t="s">
        <v>220</v>
      </c>
      <c r="AH96" s="511"/>
      <c r="AI96" s="170" t="s">
        <v>221</v>
      </c>
      <c r="AJ96" s="170"/>
      <c r="AK96" s="170"/>
      <c r="AL96" s="170"/>
      <c r="AM96" s="170"/>
      <c r="AN96" s="170"/>
      <c r="AO96" s="170"/>
      <c r="AP96" s="170"/>
      <c r="AQ96" s="171"/>
      <c r="AR96" s="171"/>
      <c r="AS96" s="171"/>
      <c r="AT96" s="171"/>
      <c r="AU96" s="171"/>
      <c r="AV96" s="171"/>
      <c r="AW96" s="196" t="s">
        <v>222</v>
      </c>
      <c r="AY96" s="5"/>
      <c r="AZ96" s="492"/>
      <c r="BA96" s="493"/>
      <c r="BB96" s="493"/>
      <c r="BC96" s="493"/>
      <c r="BD96" s="494"/>
      <c r="BE96" s="11"/>
      <c r="BF96" s="313"/>
      <c r="BG96" s="318"/>
      <c r="BH96" s="318"/>
      <c r="BI96" s="318"/>
      <c r="BJ96" s="318"/>
      <c r="BK96" s="318"/>
      <c r="BL96" s="318"/>
      <c r="BM96" s="318"/>
      <c r="BN96" s="318"/>
      <c r="BO96" s="318"/>
      <c r="BP96" s="318"/>
      <c r="BQ96" s="318"/>
      <c r="BR96" s="318"/>
      <c r="BS96" s="318"/>
      <c r="BT96" s="318"/>
      <c r="BU96" s="318"/>
      <c r="BV96" s="318"/>
      <c r="BW96" s="318"/>
      <c r="BX96" s="318"/>
      <c r="BY96" s="318"/>
      <c r="BZ96" s="512"/>
      <c r="CA96" s="275"/>
      <c r="CB96" s="276"/>
      <c r="CC96" s="277"/>
    </row>
    <row r="97" s="27" customFormat="1" customHeight="1" spans="10:81">
      <c r="J97" s="261"/>
      <c r="T97" s="396"/>
      <c r="U97" s="495"/>
      <c r="V97" s="490"/>
      <c r="W97" s="502"/>
      <c r="X97" s="503"/>
      <c r="Y97" s="504"/>
      <c r="Z97" s="505"/>
      <c r="AA97" s="506"/>
      <c r="AB97" s="507"/>
      <c r="AC97" s="165"/>
      <c r="AD97" s="509"/>
      <c r="AE97" s="509"/>
      <c r="AF97" s="509"/>
      <c r="AG97" s="510"/>
      <c r="AH97" s="511"/>
      <c r="AI97" s="513"/>
      <c r="AJ97" s="513"/>
      <c r="AK97" s="513"/>
      <c r="AL97" s="513"/>
      <c r="AM97" s="513"/>
      <c r="AN97" s="513"/>
      <c r="AO97" s="513"/>
      <c r="AP97" s="513"/>
      <c r="AQ97" s="514"/>
      <c r="AR97" s="514"/>
      <c r="AS97" s="171"/>
      <c r="AT97" s="171"/>
      <c r="AU97" s="171"/>
      <c r="AV97" s="171"/>
      <c r="AW97" s="196"/>
      <c r="AY97" s="5"/>
      <c r="AZ97" s="492"/>
      <c r="BA97" s="493"/>
      <c r="BB97" s="493"/>
      <c r="BC97" s="493"/>
      <c r="BD97" s="494"/>
      <c r="BE97" s="11"/>
      <c r="BF97" s="313"/>
      <c r="BG97" s="318"/>
      <c r="BH97" s="318"/>
      <c r="BI97" s="318"/>
      <c r="BJ97" s="318"/>
      <c r="BK97" s="318"/>
      <c r="BL97" s="318"/>
      <c r="BM97" s="318"/>
      <c r="BN97" s="318"/>
      <c r="BO97" s="318"/>
      <c r="BP97" s="318"/>
      <c r="BQ97" s="318"/>
      <c r="BR97" s="318"/>
      <c r="BS97" s="318"/>
      <c r="BT97" s="318"/>
      <c r="BU97" s="318"/>
      <c r="BV97" s="318"/>
      <c r="BW97" s="318"/>
      <c r="BX97" s="318"/>
      <c r="BY97" s="318"/>
      <c r="BZ97" s="515"/>
      <c r="CA97" s="275"/>
      <c r="CB97" s="276"/>
      <c r="CC97" s="277"/>
    </row>
    <row r="98" s="27" customFormat="1" customHeight="1" spans="10:81">
      <c r="J98" s="261"/>
      <c r="T98" s="396"/>
      <c r="U98" s="495"/>
      <c r="V98" s="490"/>
      <c r="W98" s="502"/>
      <c r="X98" s="503"/>
      <c r="Y98" s="504"/>
      <c r="Z98" s="505"/>
      <c r="AA98" s="506"/>
      <c r="AB98" s="507"/>
      <c r="AC98" s="165"/>
      <c r="AD98" s="509"/>
      <c r="AE98" s="509"/>
      <c r="AF98" s="509"/>
      <c r="AG98" s="510"/>
      <c r="AH98" s="516"/>
      <c r="AI98" s="517" t="s">
        <v>223</v>
      </c>
      <c r="AJ98" s="517"/>
      <c r="AK98" s="517"/>
      <c r="AL98" s="517"/>
      <c r="AM98" s="517"/>
      <c r="AN98" s="517"/>
      <c r="AO98" s="186"/>
      <c r="AP98" s="186"/>
      <c r="AQ98" s="186"/>
      <c r="AR98" s="186"/>
      <c r="AS98" s="178"/>
      <c r="AT98" s="178"/>
      <c r="AU98" s="179"/>
      <c r="AV98" s="180"/>
      <c r="AW98" s="196"/>
      <c r="AY98" s="518"/>
      <c r="AZ98" s="519"/>
      <c r="BA98" s="520"/>
      <c r="BB98" s="520"/>
      <c r="BC98" s="520"/>
      <c r="BD98" s="521"/>
      <c r="BE98" s="11"/>
      <c r="BF98" s="313"/>
      <c r="BG98" s="318"/>
      <c r="BH98" s="318"/>
      <c r="BI98" s="318"/>
      <c r="BJ98" s="318"/>
      <c r="BK98" s="318"/>
      <c r="BL98" s="318"/>
      <c r="BM98" s="318"/>
      <c r="BN98" s="318"/>
      <c r="BO98" s="318"/>
      <c r="BP98" s="318"/>
      <c r="BQ98" s="318"/>
      <c r="BR98" s="318"/>
      <c r="BS98" s="318"/>
      <c r="BT98" s="318"/>
      <c r="BU98" s="318"/>
      <c r="BV98" s="318"/>
      <c r="BW98" s="318"/>
      <c r="BX98" s="318"/>
      <c r="BY98" s="318"/>
      <c r="BZ98" s="522"/>
      <c r="CA98" s="275"/>
      <c r="CB98" s="276"/>
      <c r="CC98" s="277"/>
    </row>
    <row r="99" s="27" customFormat="1" customHeight="1" spans="10:81">
      <c r="J99" s="261"/>
      <c r="T99" s="396"/>
      <c r="U99" s="495"/>
      <c r="V99" s="490"/>
      <c r="W99" s="502"/>
      <c r="X99" s="503"/>
      <c r="Y99" s="504"/>
      <c r="Z99" s="505"/>
      <c r="AA99" s="506"/>
      <c r="AB99" s="507"/>
      <c r="AC99" s="165"/>
      <c r="AD99" s="509"/>
      <c r="AE99" s="509"/>
      <c r="AF99" s="509"/>
      <c r="AG99" s="510"/>
      <c r="AH99" s="516"/>
      <c r="AI99" s="523"/>
      <c r="AJ99" s="523"/>
      <c r="AK99" s="523"/>
      <c r="AL99" s="523"/>
      <c r="AM99" s="523"/>
      <c r="AN99" s="523"/>
      <c r="AO99" s="186"/>
      <c r="AP99" s="186"/>
      <c r="AQ99" s="186"/>
      <c r="AR99" s="186"/>
      <c r="AS99" s="186"/>
      <c r="AT99" s="186"/>
      <c r="AU99" s="171"/>
      <c r="AV99" s="187"/>
      <c r="AW99" s="196"/>
      <c r="AY99" s="4" t="s">
        <v>224</v>
      </c>
      <c r="AZ99" s="4"/>
      <c r="BA99" s="4"/>
      <c r="BB99" s="4"/>
      <c r="BC99" s="4"/>
      <c r="BD99" s="4"/>
      <c r="BE99" s="11"/>
      <c r="BF99" s="313"/>
      <c r="BG99" s="318"/>
      <c r="BH99" s="318"/>
      <c r="BI99" s="318"/>
      <c r="BJ99" s="318"/>
      <c r="BK99" s="318"/>
      <c r="BL99" s="318"/>
      <c r="BM99" s="318"/>
      <c r="BN99" s="318"/>
      <c r="BO99" s="318"/>
      <c r="BP99" s="318"/>
      <c r="BQ99" s="318"/>
      <c r="BR99" s="318"/>
      <c r="BS99" s="318"/>
      <c r="BT99" s="318"/>
      <c r="BU99" s="318"/>
      <c r="BV99" s="318"/>
      <c r="BW99" s="318"/>
      <c r="BX99" s="318"/>
      <c r="BY99" s="318"/>
      <c r="BZ99" s="522"/>
      <c r="CA99" s="275"/>
      <c r="CB99" s="276"/>
      <c r="CC99" s="277"/>
    </row>
    <row r="100" s="27" customFormat="1" customHeight="1" spans="10:81">
      <c r="J100" s="261"/>
      <c r="T100" s="396"/>
      <c r="U100" s="495"/>
      <c r="V100" s="490"/>
      <c r="W100" s="502"/>
      <c r="X100" s="503"/>
      <c r="Y100" s="504"/>
      <c r="Z100" s="505"/>
      <c r="AA100" s="506"/>
      <c r="AB100" s="507"/>
      <c r="AC100" s="165"/>
      <c r="AD100" s="509"/>
      <c r="AE100" s="509"/>
      <c r="AF100" s="509"/>
      <c r="AG100" s="510"/>
      <c r="AH100" s="516"/>
      <c r="AI100" s="524" t="s">
        <v>225</v>
      </c>
      <c r="AJ100" s="524"/>
      <c r="AK100" s="524"/>
      <c r="AL100" s="524"/>
      <c r="AM100" s="524"/>
      <c r="AN100" s="524"/>
      <c r="AO100" s="184"/>
      <c r="AP100" s="185"/>
      <c r="AQ100" s="186"/>
      <c r="AR100" s="186"/>
      <c r="AS100" s="186"/>
      <c r="AT100" s="186"/>
      <c r="AU100" s="171"/>
      <c r="AV100" s="187"/>
      <c r="AW100" s="196"/>
      <c r="AY100" s="4"/>
      <c r="AZ100" s="4"/>
      <c r="BA100" s="4"/>
      <c r="BB100" s="4"/>
      <c r="BC100" s="4"/>
      <c r="BD100" s="4"/>
      <c r="BE100" s="11"/>
      <c r="BF100" s="313"/>
      <c r="BG100" s="318"/>
      <c r="BH100" s="318"/>
      <c r="BI100" s="318"/>
      <c r="BJ100" s="318"/>
      <c r="BK100" s="318"/>
      <c r="BL100" s="318"/>
      <c r="BM100" s="318"/>
      <c r="BN100" s="318"/>
      <c r="BO100" s="318"/>
      <c r="BP100" s="318"/>
      <c r="BQ100" s="318"/>
      <c r="BR100" s="318"/>
      <c r="BS100" s="318"/>
      <c r="BT100" s="318"/>
      <c r="BU100" s="318"/>
      <c r="BV100" s="318"/>
      <c r="BW100" s="318"/>
      <c r="BX100" s="318"/>
      <c r="BY100" s="318"/>
      <c r="BZ100" s="522"/>
      <c r="CA100" s="275"/>
      <c r="CB100" s="276"/>
      <c r="CC100" s="277"/>
    </row>
    <row r="101" s="27" customFormat="1" customHeight="1" spans="10:81">
      <c r="J101" s="261"/>
      <c r="T101" s="396"/>
      <c r="U101" s="495"/>
      <c r="V101" s="490"/>
      <c r="W101" s="502"/>
      <c r="X101" s="503"/>
      <c r="Y101" s="504"/>
      <c r="Z101" s="505"/>
      <c r="AA101" s="506"/>
      <c r="AB101" s="507"/>
      <c r="AC101" s="165"/>
      <c r="AD101" s="509"/>
      <c r="AE101" s="509"/>
      <c r="AF101" s="509"/>
      <c r="AG101" s="525"/>
      <c r="AH101" s="526"/>
      <c r="AI101" s="527"/>
      <c r="AJ101" s="527"/>
      <c r="AK101" s="527"/>
      <c r="AL101" s="527"/>
      <c r="AM101" s="527"/>
      <c r="AN101" s="527"/>
      <c r="AO101" s="186"/>
      <c r="AP101" s="195"/>
      <c r="AQ101" s="186"/>
      <c r="AR101" s="186"/>
      <c r="AS101" s="186"/>
      <c r="AT101" s="186"/>
      <c r="AU101" s="171"/>
      <c r="AV101" s="187"/>
      <c r="AW101" s="196"/>
      <c r="AY101" s="4"/>
      <c r="AZ101" s="4"/>
      <c r="BA101" s="4"/>
      <c r="BB101" s="4"/>
      <c r="BC101" s="4"/>
      <c r="BD101" s="4"/>
      <c r="BE101" s="11"/>
      <c r="BF101" s="313"/>
      <c r="BG101" s="318"/>
      <c r="BH101" s="318"/>
      <c r="BI101" s="318"/>
      <c r="BJ101" s="318"/>
      <c r="BK101" s="318"/>
      <c r="BL101" s="318"/>
      <c r="BM101" s="318"/>
      <c r="BN101" s="318"/>
      <c r="BO101" s="318"/>
      <c r="BP101" s="318"/>
      <c r="BQ101" s="318"/>
      <c r="BR101" s="318"/>
      <c r="BS101" s="318"/>
      <c r="BT101" s="318"/>
      <c r="BU101" s="318"/>
      <c r="BV101" s="318"/>
      <c r="BW101" s="318"/>
      <c r="BX101" s="318"/>
      <c r="BY101" s="318"/>
      <c r="BZ101" s="522"/>
      <c r="CA101" s="275"/>
      <c r="CB101" s="276"/>
      <c r="CC101" s="277"/>
    </row>
    <row r="102" s="27" customFormat="1" customHeight="1" spans="10:81">
      <c r="J102" s="261"/>
      <c r="T102" s="396"/>
      <c r="U102" s="495"/>
      <c r="V102" s="490"/>
      <c r="W102" s="502"/>
      <c r="X102" s="503"/>
      <c r="Y102" s="504"/>
      <c r="Z102" s="505"/>
      <c r="AA102" s="506"/>
      <c r="AB102" s="507"/>
      <c r="AC102" s="165"/>
      <c r="AD102" s="190" t="s">
        <v>226</v>
      </c>
      <c r="AE102" s="191"/>
      <c r="AF102" s="191"/>
      <c r="AG102" s="191"/>
      <c r="AH102" s="192"/>
      <c r="AI102" s="193" t="s">
        <v>227</v>
      </c>
      <c r="AJ102" s="193"/>
      <c r="AK102" s="193"/>
      <c r="AL102" s="193"/>
      <c r="AM102" s="194"/>
      <c r="AN102" s="186"/>
      <c r="AO102" s="186"/>
      <c r="AP102" s="195"/>
      <c r="AQ102" s="186"/>
      <c r="AR102" s="186"/>
      <c r="AS102" s="186"/>
      <c r="AT102" s="186"/>
      <c r="AU102" s="171"/>
      <c r="AV102" s="187"/>
      <c r="AW102" s="196"/>
      <c r="AY102" s="4"/>
      <c r="AZ102" s="4"/>
      <c r="BA102" s="4"/>
      <c r="BB102" s="4"/>
      <c r="BC102" s="4"/>
      <c r="BD102" s="4"/>
      <c r="BE102" s="11"/>
      <c r="BF102" s="313"/>
      <c r="BG102" s="318"/>
      <c r="BH102" s="318"/>
      <c r="BI102" s="318"/>
      <c r="BJ102" s="318"/>
      <c r="BK102" s="318"/>
      <c r="BL102" s="318"/>
      <c r="BM102" s="318"/>
      <c r="BN102" s="318"/>
      <c r="BO102" s="318"/>
      <c r="BP102" s="318"/>
      <c r="BQ102" s="318"/>
      <c r="BR102" s="318"/>
      <c r="BS102" s="318"/>
      <c r="BT102" s="318"/>
      <c r="BU102" s="318"/>
      <c r="BV102" s="318"/>
      <c r="BW102" s="318"/>
      <c r="BX102" s="318"/>
      <c r="BY102" s="318"/>
      <c r="BZ102" s="528"/>
      <c r="CA102" s="275"/>
      <c r="CB102" s="276"/>
      <c r="CC102" s="277"/>
    </row>
    <row r="103" s="27" customFormat="1" customHeight="1" spans="10:81">
      <c r="J103" s="261"/>
      <c r="T103" s="396"/>
      <c r="U103" s="495"/>
      <c r="V103" s="490"/>
      <c r="W103" s="502"/>
      <c r="X103" s="503"/>
      <c r="Y103" s="504"/>
      <c r="Z103" s="505"/>
      <c r="AA103" s="506"/>
      <c r="AB103" s="507"/>
      <c r="AC103" s="165"/>
      <c r="AD103" s="199" t="s">
        <v>228</v>
      </c>
      <c r="AE103" s="199"/>
      <c r="AF103" s="199"/>
      <c r="AG103" s="199"/>
      <c r="AH103" s="199"/>
      <c r="AI103" s="199" t="s">
        <v>229</v>
      </c>
      <c r="AJ103" s="199"/>
      <c r="AK103" s="199"/>
      <c r="AL103" s="199"/>
      <c r="AM103" s="200" t="s">
        <v>230</v>
      </c>
      <c r="AN103" s="200"/>
      <c r="AO103" s="200"/>
      <c r="AP103" s="200"/>
      <c r="AQ103" s="200" t="s">
        <v>231</v>
      </c>
      <c r="AR103" s="200"/>
      <c r="AS103" s="200"/>
      <c r="AT103" s="200"/>
      <c r="AU103" s="201" t="s">
        <v>232</v>
      </c>
      <c r="AV103" s="202"/>
      <c r="AW103" s="196"/>
      <c r="AY103" s="4"/>
      <c r="AZ103" s="4"/>
      <c r="BA103" s="4"/>
      <c r="BB103" s="4"/>
      <c r="BC103" s="4"/>
      <c r="BD103" s="4"/>
      <c r="BE103" s="11"/>
      <c r="BF103" s="313"/>
      <c r="BG103" s="318"/>
      <c r="BH103" s="318"/>
      <c r="BI103" s="318"/>
      <c r="BJ103" s="318"/>
      <c r="BK103" s="318"/>
      <c r="BL103" s="318"/>
      <c r="BM103" s="318"/>
      <c r="BN103" s="318"/>
      <c r="BO103" s="318"/>
      <c r="BP103" s="318"/>
      <c r="BQ103" s="318"/>
      <c r="BR103" s="318"/>
      <c r="BS103" s="318"/>
      <c r="BT103" s="318"/>
      <c r="BU103" s="318"/>
      <c r="BV103" s="318"/>
      <c r="BW103" s="318"/>
      <c r="BX103" s="318"/>
      <c r="BY103" s="318"/>
      <c r="BZ103" s="528"/>
      <c r="CA103" s="275"/>
      <c r="CB103" s="276"/>
      <c r="CC103" s="277"/>
    </row>
    <row r="104" s="27" customFormat="1" customHeight="1" spans="10:81">
      <c r="J104" s="261"/>
      <c r="U104" s="495"/>
      <c r="V104" s="490"/>
      <c r="W104" s="502"/>
      <c r="X104" s="503"/>
      <c r="Y104" s="504"/>
      <c r="Z104" s="505"/>
      <c r="AA104" s="506"/>
      <c r="AB104" s="507"/>
      <c r="AC104" s="165"/>
      <c r="AD104" s="199"/>
      <c r="AE104" s="199"/>
      <c r="AF104" s="199"/>
      <c r="AG104" s="199"/>
      <c r="AH104" s="199"/>
      <c r="AI104" s="199"/>
      <c r="AJ104" s="199"/>
      <c r="AK104" s="199"/>
      <c r="AL104" s="199"/>
      <c r="AM104" s="200"/>
      <c r="AN104" s="200"/>
      <c r="AO104" s="200"/>
      <c r="AP104" s="200"/>
      <c r="AQ104" s="200"/>
      <c r="AR104" s="200"/>
      <c r="AS104" s="200"/>
      <c r="AT104" s="200"/>
      <c r="AU104" s="201"/>
      <c r="AV104" s="202"/>
      <c r="AW104" s="196"/>
      <c r="AY104" s="4"/>
      <c r="AZ104" s="4"/>
      <c r="BA104" s="4"/>
      <c r="BB104" s="4"/>
      <c r="BC104" s="4"/>
      <c r="BD104" s="4"/>
      <c r="BE104" s="11"/>
      <c r="BF104" s="313"/>
      <c r="BG104" s="318"/>
      <c r="BH104" s="318"/>
      <c r="BI104" s="318"/>
      <c r="BJ104" s="318"/>
      <c r="BK104" s="318"/>
      <c r="BL104" s="318"/>
      <c r="BM104" s="318"/>
      <c r="BN104" s="318"/>
      <c r="BO104" s="318"/>
      <c r="BP104" s="318"/>
      <c r="BQ104" s="318"/>
      <c r="BR104" s="318"/>
      <c r="BS104" s="318"/>
      <c r="BT104" s="318"/>
      <c r="BU104" s="318"/>
      <c r="BV104" s="318"/>
      <c r="BW104" s="318"/>
      <c r="BX104" s="318"/>
      <c r="BY104" s="318"/>
      <c r="BZ104" s="528"/>
      <c r="CA104" s="275"/>
      <c r="CB104" s="276"/>
      <c r="CC104" s="277"/>
    </row>
    <row r="105" s="27" customFormat="1" customHeight="1" spans="10:81">
      <c r="J105" s="261"/>
      <c r="U105" s="495"/>
      <c r="V105" s="490"/>
      <c r="W105" s="502"/>
      <c r="X105" s="503"/>
      <c r="Y105" s="504"/>
      <c r="Z105" s="505"/>
      <c r="AA105" s="506"/>
      <c r="AB105" s="507"/>
      <c r="AC105" s="165"/>
      <c r="AD105" s="199"/>
      <c r="AE105" s="199"/>
      <c r="AF105" s="199"/>
      <c r="AG105" s="199"/>
      <c r="AH105" s="199"/>
      <c r="AI105" s="199"/>
      <c r="AJ105" s="199"/>
      <c r="AK105" s="199"/>
      <c r="AL105" s="199"/>
      <c r="AM105" s="200"/>
      <c r="AN105" s="200"/>
      <c r="AO105" s="200"/>
      <c r="AP105" s="200"/>
      <c r="AQ105" s="200"/>
      <c r="AR105" s="200"/>
      <c r="AS105" s="200"/>
      <c r="AT105" s="200"/>
      <c r="AU105" s="201"/>
      <c r="AV105" s="202"/>
      <c r="AW105" s="196"/>
      <c r="AY105" s="4"/>
      <c r="AZ105" s="4"/>
      <c r="BA105" s="4"/>
      <c r="BB105" s="4"/>
      <c r="BC105" s="4"/>
      <c r="BD105" s="4"/>
      <c r="BE105" s="11"/>
      <c r="BF105" s="313"/>
      <c r="BG105" s="318"/>
      <c r="BH105" s="318"/>
      <c r="BI105" s="318"/>
      <c r="BJ105" s="318"/>
      <c r="BK105" s="318"/>
      <c r="BL105" s="318"/>
      <c r="BM105" s="318"/>
      <c r="BN105" s="318"/>
      <c r="BO105" s="318"/>
      <c r="BP105" s="318"/>
      <c r="BQ105" s="318"/>
      <c r="BR105" s="318"/>
      <c r="BS105" s="318"/>
      <c r="BT105" s="318"/>
      <c r="BU105" s="318"/>
      <c r="BV105" s="318"/>
      <c r="BW105" s="318"/>
      <c r="BX105" s="318"/>
      <c r="BY105" s="318"/>
      <c r="BZ105" s="528"/>
      <c r="CA105" s="275"/>
      <c r="CB105" s="276"/>
      <c r="CC105" s="277"/>
    </row>
    <row r="106" s="27" customFormat="1" customHeight="1" spans="10:81">
      <c r="J106" s="261"/>
      <c r="U106" s="495"/>
      <c r="V106" s="490"/>
      <c r="W106" s="502"/>
      <c r="X106" s="503"/>
      <c r="Y106" s="504"/>
      <c r="Z106" s="505"/>
      <c r="AA106" s="506"/>
      <c r="AB106" s="507"/>
      <c r="AC106" s="165"/>
      <c r="AD106" s="205" t="s">
        <v>233</v>
      </c>
      <c r="AE106" s="206"/>
      <c r="AF106" s="206"/>
      <c r="AG106" s="206"/>
      <c r="AH106" s="206"/>
      <c r="AI106" s="207" t="s">
        <v>234</v>
      </c>
      <c r="AJ106" s="207"/>
      <c r="AK106" s="626" t="s">
        <v>235</v>
      </c>
      <c r="AL106" s="209"/>
      <c r="AM106" s="210" t="s">
        <v>236</v>
      </c>
      <c r="AN106" s="210"/>
      <c r="AO106" s="627" t="s">
        <v>235</v>
      </c>
      <c r="AP106" s="210"/>
      <c r="AQ106" s="210" t="s">
        <v>237</v>
      </c>
      <c r="AR106" s="210"/>
      <c r="AS106" s="628" t="s">
        <v>235</v>
      </c>
      <c r="AT106" s="211"/>
      <c r="AU106" s="212" t="s">
        <v>238</v>
      </c>
      <c r="AV106" s="213"/>
      <c r="AW106" s="196"/>
      <c r="AY106" s="4"/>
      <c r="AZ106" s="4"/>
      <c r="BA106" s="4"/>
      <c r="BB106" s="4"/>
      <c r="BC106" s="4"/>
      <c r="BD106" s="4"/>
      <c r="BE106" s="11"/>
      <c r="BF106" s="313"/>
      <c r="BG106" s="318"/>
      <c r="BH106" s="318"/>
      <c r="BI106" s="318"/>
      <c r="BJ106" s="318"/>
      <c r="BK106" s="318"/>
      <c r="BL106" s="318"/>
      <c r="BM106" s="318"/>
      <c r="BN106" s="318"/>
      <c r="BO106" s="318"/>
      <c r="BP106" s="318"/>
      <c r="BQ106" s="318"/>
      <c r="BR106" s="318"/>
      <c r="BS106" s="318"/>
      <c r="BT106" s="318"/>
      <c r="BU106" s="318"/>
      <c r="BV106" s="318"/>
      <c r="BW106" s="318"/>
      <c r="BX106" s="318"/>
      <c r="BY106" s="318"/>
      <c r="BZ106" s="528"/>
      <c r="CA106" s="275"/>
      <c r="CB106" s="276"/>
      <c r="CC106" s="277"/>
    </row>
    <row r="107" s="27" customFormat="1" customHeight="1" spans="10:81">
      <c r="J107" s="261"/>
      <c r="U107" s="495"/>
      <c r="V107" s="490"/>
      <c r="W107" s="502"/>
      <c r="X107" s="503"/>
      <c r="Y107" s="504"/>
      <c r="Z107" s="505"/>
      <c r="AA107" s="506" t="s">
        <v>239</v>
      </c>
      <c r="AB107" s="529" t="s">
        <v>240</v>
      </c>
      <c r="AC107" s="165"/>
      <c r="AD107" s="216" t="s">
        <v>241</v>
      </c>
      <c r="AE107" s="217" t="s">
        <v>242</v>
      </c>
      <c r="AF107" s="217"/>
      <c r="AG107" s="217"/>
      <c r="AH107" s="629" t="s">
        <v>243</v>
      </c>
      <c r="AI107" s="218"/>
      <c r="AJ107" s="217" t="s">
        <v>244</v>
      </c>
      <c r="AK107" s="217"/>
      <c r="AL107" s="630" t="s">
        <v>245</v>
      </c>
      <c r="AM107" s="219"/>
      <c r="AN107" s="217" t="s">
        <v>246</v>
      </c>
      <c r="AO107" s="217"/>
      <c r="AP107" s="220" t="s">
        <v>247</v>
      </c>
      <c r="AQ107" s="220"/>
      <c r="AR107" s="221" t="s">
        <v>248</v>
      </c>
      <c r="AS107" s="221"/>
      <c r="AT107" s="629" t="s">
        <v>243</v>
      </c>
      <c r="AU107" s="218"/>
      <c r="AV107" s="217" t="s">
        <v>249</v>
      </c>
      <c r="AW107" s="222"/>
      <c r="AY107" s="4"/>
      <c r="AZ107" s="4"/>
      <c r="BA107" s="4"/>
      <c r="BB107" s="4"/>
      <c r="BC107" s="4"/>
      <c r="BD107" s="4"/>
      <c r="BE107" s="11"/>
      <c r="BF107" s="313"/>
      <c r="BG107" s="318"/>
      <c r="BH107" s="318"/>
      <c r="BI107" s="318"/>
      <c r="BJ107" s="318"/>
      <c r="BK107" s="318"/>
      <c r="BL107" s="318"/>
      <c r="BM107" s="318"/>
      <c r="BN107" s="318"/>
      <c r="BO107" s="318"/>
      <c r="BP107" s="318"/>
      <c r="BQ107" s="318"/>
      <c r="BR107" s="318"/>
      <c r="BS107" s="318"/>
      <c r="BT107" s="318"/>
      <c r="BU107" s="318"/>
      <c r="BV107" s="318"/>
      <c r="BW107" s="318"/>
      <c r="BX107" s="318"/>
      <c r="BY107" s="318"/>
      <c r="BZ107" s="528"/>
      <c r="CA107" s="275"/>
      <c r="CB107" s="276"/>
      <c r="CC107" s="277"/>
    </row>
    <row r="108" s="27" customFormat="1" customHeight="1" spans="10:81">
      <c r="J108" s="261"/>
      <c r="U108" s="495"/>
      <c r="V108" s="490"/>
      <c r="W108" s="502"/>
      <c r="X108" s="503"/>
      <c r="Y108" s="504"/>
      <c r="Z108" s="505"/>
      <c r="AA108" s="506"/>
      <c r="AB108" s="530"/>
      <c r="AC108" s="165"/>
      <c r="AD108" s="216"/>
      <c r="AE108" s="224" t="s">
        <v>250</v>
      </c>
      <c r="AF108" s="224"/>
      <c r="AG108" s="224"/>
      <c r="AH108" s="224"/>
      <c r="AI108" s="224"/>
      <c r="AJ108" s="224" t="s">
        <v>251</v>
      </c>
      <c r="AK108" s="224"/>
      <c r="AL108" s="224"/>
      <c r="AM108" s="224"/>
      <c r="AN108" s="224" t="s">
        <v>252</v>
      </c>
      <c r="AO108" s="224"/>
      <c r="AP108" s="224"/>
      <c r="AQ108" s="224"/>
      <c r="AR108" s="224" t="s">
        <v>253</v>
      </c>
      <c r="AS108" s="224"/>
      <c r="AT108" s="224"/>
      <c r="AU108" s="224"/>
      <c r="AV108" s="224" t="s">
        <v>254</v>
      </c>
      <c r="AW108" s="225"/>
      <c r="AY108" s="4"/>
      <c r="AZ108" s="4"/>
      <c r="BA108" s="4"/>
      <c r="BB108" s="4"/>
      <c r="BC108" s="4"/>
      <c r="BD108" s="4"/>
      <c r="BE108" s="11"/>
      <c r="BF108" s="313"/>
      <c r="BG108" s="318"/>
      <c r="BH108" s="318"/>
      <c r="BI108" s="318"/>
      <c r="BJ108" s="318"/>
      <c r="BK108" s="318"/>
      <c r="BL108" s="318"/>
      <c r="BM108" s="318"/>
      <c r="BN108" s="318"/>
      <c r="BO108" s="318"/>
      <c r="BP108" s="318"/>
      <c r="BQ108" s="318"/>
      <c r="BR108" s="318"/>
      <c r="BS108" s="318"/>
      <c r="BT108" s="318"/>
      <c r="BU108" s="318"/>
      <c r="BV108" s="318"/>
      <c r="BW108" s="318"/>
      <c r="BX108" s="318"/>
      <c r="BY108" s="318"/>
      <c r="BZ108" s="531"/>
      <c r="CA108" s="275"/>
      <c r="CB108" s="276"/>
      <c r="CC108" s="277"/>
    </row>
    <row r="109" s="27" customFormat="1" customHeight="1" spans="10:81">
      <c r="J109" s="261"/>
      <c r="U109" s="495"/>
      <c r="V109" s="490"/>
      <c r="W109" s="502"/>
      <c r="X109" s="503"/>
      <c r="Y109" s="504"/>
      <c r="Z109" s="505"/>
      <c r="AA109" s="506"/>
      <c r="AB109" s="530"/>
      <c r="AC109" s="165"/>
      <c r="AD109" s="216"/>
      <c r="AE109" s="224"/>
      <c r="AF109" s="224"/>
      <c r="AG109" s="224"/>
      <c r="AH109" s="224"/>
      <c r="AI109" s="224"/>
      <c r="AJ109" s="224"/>
      <c r="AK109" s="224"/>
      <c r="AL109" s="224"/>
      <c r="AM109" s="224"/>
      <c r="AN109" s="224"/>
      <c r="AO109" s="224"/>
      <c r="AP109" s="224"/>
      <c r="AQ109" s="224"/>
      <c r="AR109" s="224"/>
      <c r="AS109" s="224"/>
      <c r="AT109" s="224"/>
      <c r="AU109" s="224"/>
      <c r="AV109" s="224"/>
      <c r="AW109" s="225"/>
      <c r="AY109" s="4"/>
      <c r="AZ109" s="4"/>
      <c r="BA109" s="4"/>
      <c r="BB109" s="4"/>
      <c r="BC109" s="4"/>
      <c r="BD109" s="4"/>
      <c r="BE109" s="11"/>
      <c r="BF109" s="313"/>
      <c r="BG109" s="318"/>
      <c r="BH109" s="318"/>
      <c r="BI109" s="318"/>
      <c r="BJ109" s="318"/>
      <c r="BK109" s="318"/>
      <c r="BL109" s="318"/>
      <c r="BM109" s="318"/>
      <c r="BN109" s="318"/>
      <c r="BO109" s="318"/>
      <c r="BP109" s="318"/>
      <c r="BQ109" s="318"/>
      <c r="BR109" s="318"/>
      <c r="BS109" s="318"/>
      <c r="BT109" s="318"/>
      <c r="BU109" s="318"/>
      <c r="BV109" s="318"/>
      <c r="BW109" s="318"/>
      <c r="BX109" s="318"/>
      <c r="BY109" s="318"/>
      <c r="BZ109" s="531"/>
      <c r="CA109" s="275"/>
      <c r="CB109" s="276"/>
      <c r="CC109" s="277"/>
    </row>
    <row r="110" s="27" customFormat="1" customHeight="1" spans="10:81">
      <c r="J110" s="261"/>
      <c r="U110" s="495"/>
      <c r="V110" s="490"/>
      <c r="W110" s="502"/>
      <c r="X110" s="503"/>
      <c r="Y110" s="504"/>
      <c r="Z110" s="505"/>
      <c r="AA110" s="506"/>
      <c r="AB110" s="530"/>
      <c r="AC110" s="165"/>
      <c r="AD110" s="216"/>
      <c r="AE110" s="224"/>
      <c r="AF110" s="224"/>
      <c r="AG110" s="224"/>
      <c r="AH110" s="224"/>
      <c r="AI110" s="224"/>
      <c r="AJ110" s="224"/>
      <c r="AK110" s="224"/>
      <c r="AL110" s="224"/>
      <c r="AM110" s="224"/>
      <c r="AN110" s="224"/>
      <c r="AO110" s="224"/>
      <c r="AP110" s="224"/>
      <c r="AQ110" s="224"/>
      <c r="AR110" s="224"/>
      <c r="AS110" s="224"/>
      <c r="AT110" s="224"/>
      <c r="AU110" s="224"/>
      <c r="AV110" s="224"/>
      <c r="AW110" s="225"/>
      <c r="AY110" s="4"/>
      <c r="AZ110" s="4"/>
      <c r="BA110" s="4"/>
      <c r="BB110" s="4"/>
      <c r="BC110" s="4"/>
      <c r="BD110" s="4"/>
      <c r="BE110" s="11"/>
      <c r="BF110" s="313"/>
      <c r="BG110" s="318"/>
      <c r="BH110" s="318"/>
      <c r="BI110" s="318"/>
      <c r="BJ110" s="318"/>
      <c r="BK110" s="318"/>
      <c r="BL110" s="318"/>
      <c r="BM110" s="318"/>
      <c r="BN110" s="318"/>
      <c r="BO110" s="318"/>
      <c r="BP110" s="318"/>
      <c r="BQ110" s="318"/>
      <c r="BR110" s="318"/>
      <c r="BS110" s="318"/>
      <c r="BT110" s="318"/>
      <c r="BU110" s="318"/>
      <c r="BV110" s="318"/>
      <c r="BW110" s="318"/>
      <c r="BX110" s="318"/>
      <c r="BY110" s="318"/>
      <c r="BZ110" s="531"/>
      <c r="CA110" s="275"/>
      <c r="CB110" s="276"/>
      <c r="CC110" s="277"/>
    </row>
    <row r="111" s="27" customFormat="1" customHeight="1" spans="10:81">
      <c r="J111" s="261"/>
      <c r="K111"/>
      <c r="L111"/>
      <c r="M111"/>
      <c r="N111"/>
      <c r="O111"/>
      <c r="P111"/>
      <c r="Q111"/>
      <c r="R111"/>
      <c r="S111"/>
      <c r="U111" s="495"/>
      <c r="V111" s="490"/>
      <c r="W111" s="502"/>
      <c r="X111" s="503"/>
      <c r="Y111" s="504"/>
      <c r="Z111" s="505"/>
      <c r="AA111" s="506"/>
      <c r="AB111" s="532"/>
      <c r="AC111" s="165"/>
      <c r="AD111" s="216"/>
      <c r="AE111" s="533" t="s">
        <v>255</v>
      </c>
      <c r="AF111" s="533"/>
      <c r="AG111" s="533"/>
      <c r="AH111" s="533"/>
      <c r="AI111" s="533"/>
      <c r="AJ111" s="533"/>
      <c r="AK111" s="533"/>
      <c r="AL111" s="533"/>
      <c r="AM111" s="533"/>
      <c r="AN111" s="533"/>
      <c r="AO111" s="533"/>
      <c r="AP111" s="533"/>
      <c r="AQ111" s="533"/>
      <c r="AR111" s="533"/>
      <c r="AS111" s="533"/>
      <c r="AT111" s="533"/>
      <c r="AU111" s="533"/>
      <c r="AV111" s="533"/>
      <c r="AW111" s="229"/>
      <c r="AY111" s="4"/>
      <c r="AZ111" s="4"/>
      <c r="BA111" s="4"/>
      <c r="BB111" s="4"/>
      <c r="BC111" s="4"/>
      <c r="BD111" s="4"/>
      <c r="BE111" s="11"/>
      <c r="BF111" s="313"/>
      <c r="BG111" s="318"/>
      <c r="BH111" s="318"/>
      <c r="BI111" s="318"/>
      <c r="BJ111" s="318"/>
      <c r="BK111" s="318"/>
      <c r="BL111" s="318"/>
      <c r="BM111" s="318"/>
      <c r="BN111" s="318"/>
      <c r="BO111" s="318"/>
      <c r="BP111" s="318"/>
      <c r="BQ111" s="318"/>
      <c r="BR111" s="318"/>
      <c r="BS111" s="318"/>
      <c r="BT111" s="318"/>
      <c r="BU111" s="318"/>
      <c r="BV111" s="318"/>
      <c r="BW111" s="318"/>
      <c r="BX111" s="318"/>
      <c r="BY111" s="318"/>
      <c r="BZ111" s="531"/>
      <c r="CA111" s="275"/>
      <c r="CB111" s="276"/>
      <c r="CC111" s="277"/>
    </row>
    <row r="112" s="27" customFormat="1" customHeight="1" spans="10:81">
      <c r="J112" s="261"/>
      <c r="K112"/>
      <c r="L112"/>
      <c r="M112"/>
      <c r="N112"/>
      <c r="O112"/>
      <c r="P112"/>
      <c r="Q112"/>
      <c r="R112"/>
      <c r="S112"/>
      <c r="U112" s="495"/>
      <c r="V112" s="490"/>
      <c r="W112" s="502"/>
      <c r="X112" s="503"/>
      <c r="Y112" s="504"/>
      <c r="Z112" s="505"/>
      <c r="AA112" s="506"/>
      <c r="AB112" s="230" t="s">
        <v>256</v>
      </c>
      <c r="AC112" s="230"/>
      <c r="AD112" s="230"/>
      <c r="AE112" s="230"/>
      <c r="AF112" s="230"/>
      <c r="AG112" s="230"/>
      <c r="AH112" s="230"/>
      <c r="AI112" s="230"/>
      <c r="AJ112" s="230"/>
      <c r="AK112" s="230"/>
      <c r="AL112" s="230"/>
      <c r="AM112" s="230"/>
      <c r="AN112" s="230"/>
      <c r="AO112" s="230"/>
      <c r="AP112" s="230"/>
      <c r="AQ112" s="230"/>
      <c r="AR112" s="534" t="s">
        <v>257</v>
      </c>
      <c r="AS112" s="534"/>
      <c r="AT112" s="534"/>
      <c r="AU112" s="534"/>
      <c r="AV112" s="534"/>
      <c r="AW112" s="535"/>
      <c r="AY112" s="4"/>
      <c r="AZ112" s="4"/>
      <c r="BA112" s="4"/>
      <c r="BB112" s="4"/>
      <c r="BC112" s="4"/>
      <c r="BD112" s="4"/>
      <c r="BE112"/>
      <c r="BF112" s="313"/>
      <c r="BG112" s="318"/>
      <c r="BH112" s="318"/>
      <c r="BI112" s="318"/>
      <c r="BJ112" s="318"/>
      <c r="BK112" s="318"/>
      <c r="BL112" s="318"/>
      <c r="BM112" s="318"/>
      <c r="BN112" s="318"/>
      <c r="BO112" s="318"/>
      <c r="BP112" s="318"/>
      <c r="BQ112" s="318"/>
      <c r="BR112" s="318"/>
      <c r="BS112" s="318"/>
      <c r="BT112" s="318"/>
      <c r="BU112" s="318"/>
      <c r="BV112" s="318"/>
      <c r="BW112" s="318"/>
      <c r="BX112" s="318"/>
      <c r="BY112" s="318"/>
      <c r="BZ112" s="531"/>
      <c r="CA112" s="275"/>
      <c r="CB112" s="276"/>
      <c r="CC112" s="277"/>
    </row>
    <row r="113" s="27" customFormat="1" customHeight="1" spans="10:81">
      <c r="J113" s="261"/>
      <c r="K113"/>
      <c r="L113"/>
      <c r="M113"/>
      <c r="N113"/>
      <c r="O113"/>
      <c r="P113"/>
      <c r="Q113"/>
      <c r="R113"/>
      <c r="S113"/>
      <c r="U113" s="495"/>
      <c r="V113" s="490"/>
      <c r="W113" s="502"/>
      <c r="X113" s="503"/>
      <c r="Y113" s="504"/>
      <c r="Z113" s="505"/>
      <c r="AA113" s="506"/>
      <c r="AB113" s="232" t="s">
        <v>258</v>
      </c>
      <c r="AC113" s="233"/>
      <c r="AD113" s="233"/>
      <c r="AE113" s="233"/>
      <c r="AF113" s="233"/>
      <c r="AG113" s="233"/>
      <c r="AH113" s="233"/>
      <c r="AI113" s="233"/>
      <c r="AJ113" s="233"/>
      <c r="AK113" s="233"/>
      <c r="AL113" s="233"/>
      <c r="AM113" s="233"/>
      <c r="AN113" s="233"/>
      <c r="AO113" s="233"/>
      <c r="AP113" s="233"/>
      <c r="AQ113" s="233"/>
      <c r="AR113" s="536"/>
      <c r="AS113" s="536"/>
      <c r="AT113" s="536"/>
      <c r="AU113" s="536"/>
      <c r="AV113" s="536"/>
      <c r="AW113" s="537"/>
      <c r="AY113" s="4"/>
      <c r="AZ113" s="4"/>
      <c r="BA113" s="4"/>
      <c r="BB113" s="4"/>
      <c r="BC113" s="4"/>
      <c r="BD113" s="4"/>
      <c r="BE113"/>
      <c r="BF113" s="313"/>
      <c r="BG113" s="318"/>
      <c r="BH113" s="318"/>
      <c r="BI113" s="318"/>
      <c r="BJ113" s="318"/>
      <c r="BK113" s="318"/>
      <c r="BL113" s="318"/>
      <c r="BM113" s="318"/>
      <c r="BN113" s="318"/>
      <c r="BO113" s="318"/>
      <c r="BP113" s="318"/>
      <c r="BQ113" s="318"/>
      <c r="BR113" s="318"/>
      <c r="BS113" s="318"/>
      <c r="BT113" s="318"/>
      <c r="BU113" s="318"/>
      <c r="BV113" s="318"/>
      <c r="BW113" s="318"/>
      <c r="BX113" s="318"/>
      <c r="BY113" s="318"/>
      <c r="BZ113" s="531"/>
      <c r="CA113" s="275"/>
      <c r="CB113" s="276"/>
      <c r="CC113" s="277"/>
    </row>
    <row r="114" s="27" customFormat="1" customHeight="1" spans="10:81">
      <c r="J114" s="261"/>
      <c r="K114"/>
      <c r="L114"/>
      <c r="M114"/>
      <c r="N114"/>
      <c r="O114"/>
      <c r="P114"/>
      <c r="Q114"/>
      <c r="R114"/>
      <c r="S114"/>
      <c r="U114" s="495"/>
      <c r="V114" s="490"/>
      <c r="W114" s="502"/>
      <c r="X114" s="503"/>
      <c r="Y114" s="504"/>
      <c r="Z114" s="538" t="s">
        <v>259</v>
      </c>
      <c r="AA114" s="506"/>
      <c r="AB114" s="236" t="s">
        <v>260</v>
      </c>
      <c r="AC114" s="236"/>
      <c r="AD114" s="236"/>
      <c r="AE114" s="236"/>
      <c r="AF114" s="236"/>
      <c r="AG114" s="236"/>
      <c r="AH114" s="236"/>
      <c r="AI114" s="236"/>
      <c r="AJ114" s="236"/>
      <c r="AK114" s="236"/>
      <c r="AL114" s="236"/>
      <c r="AM114" s="236"/>
      <c r="AN114" s="236"/>
      <c r="AO114" s="236"/>
      <c r="AP114" s="236"/>
      <c r="AQ114" s="236"/>
      <c r="AR114" s="536"/>
      <c r="AS114" s="536"/>
      <c r="AT114" s="536"/>
      <c r="AU114" s="536"/>
      <c r="AV114" s="536"/>
      <c r="AW114" s="537"/>
      <c r="AY114" s="4"/>
      <c r="AZ114" s="4"/>
      <c r="BA114" s="4"/>
      <c r="BB114" s="4"/>
      <c r="BC114" s="4"/>
      <c r="BD114" s="4"/>
      <c r="BE114"/>
      <c r="BF114" s="313"/>
      <c r="BG114" s="318"/>
      <c r="BH114" s="318"/>
      <c r="BI114" s="318"/>
      <c r="BJ114" s="318"/>
      <c r="BK114" s="318"/>
      <c r="BL114" s="318"/>
      <c r="BM114" s="318"/>
      <c r="BN114" s="318"/>
      <c r="BO114" s="318"/>
      <c r="BP114" s="318"/>
      <c r="BQ114" s="318"/>
      <c r="BR114" s="318"/>
      <c r="BS114" s="318"/>
      <c r="BT114" s="318"/>
      <c r="BU114" s="318"/>
      <c r="BV114" s="318"/>
      <c r="BW114" s="318"/>
      <c r="BX114" s="318"/>
      <c r="BY114" s="318"/>
      <c r="BZ114" s="531"/>
      <c r="CA114" s="275"/>
      <c r="CB114" s="276"/>
      <c r="CC114" s="277"/>
    </row>
    <row r="115" s="27" customFormat="1" customHeight="1" spans="10:81">
      <c r="J115" s="261"/>
      <c r="K115"/>
      <c r="L115"/>
      <c r="M115"/>
      <c r="N115"/>
      <c r="O115"/>
      <c r="P115"/>
      <c r="Q115"/>
      <c r="R115"/>
      <c r="S115"/>
      <c r="U115" s="495"/>
      <c r="V115" s="490"/>
      <c r="W115" s="502"/>
      <c r="X115" s="503"/>
      <c r="Y115" s="504"/>
      <c r="Z115" s="538"/>
      <c r="AA115" s="506"/>
      <c r="AB115" s="236" t="s">
        <v>261</v>
      </c>
      <c r="AC115" s="236"/>
      <c r="AD115" s="236"/>
      <c r="AE115" s="236"/>
      <c r="AF115" s="236"/>
      <c r="AG115" s="236"/>
      <c r="AH115" s="236"/>
      <c r="AI115" s="236"/>
      <c r="AJ115" s="236"/>
      <c r="AK115" s="236"/>
      <c r="AL115" s="236"/>
      <c r="AM115" s="236"/>
      <c r="AN115" s="236"/>
      <c r="AO115" s="236"/>
      <c r="AP115" s="236"/>
      <c r="AQ115" s="236"/>
      <c r="AR115" s="536"/>
      <c r="AS115" s="536"/>
      <c r="AT115" s="536"/>
      <c r="AU115" s="536"/>
      <c r="AV115" s="536"/>
      <c r="AW115" s="537"/>
      <c r="AY115" s="4"/>
      <c r="AZ115" s="4"/>
      <c r="BA115" s="4"/>
      <c r="BB115" s="4"/>
      <c r="BC115" s="4"/>
      <c r="BD115" s="4"/>
      <c r="BE115"/>
      <c r="BF115" s="313"/>
      <c r="BG115" s="318"/>
      <c r="BH115" s="318"/>
      <c r="BI115" s="318"/>
      <c r="BJ115" s="318"/>
      <c r="BK115" s="318"/>
      <c r="BL115" s="318"/>
      <c r="BM115" s="318"/>
      <c r="BN115" s="318"/>
      <c r="BO115" s="318"/>
      <c r="BP115" s="318"/>
      <c r="BQ115" s="318"/>
      <c r="BR115" s="318"/>
      <c r="BS115" s="318"/>
      <c r="BT115" s="318"/>
      <c r="BU115" s="318"/>
      <c r="BV115" s="318"/>
      <c r="BW115" s="318"/>
      <c r="BX115" s="318"/>
      <c r="BY115" s="318"/>
      <c r="BZ115" s="531"/>
      <c r="CA115" s="275"/>
      <c r="CB115" s="276"/>
      <c r="CC115" s="277"/>
    </row>
    <row r="116" s="27" customFormat="1" customHeight="1" spans="10:81">
      <c r="J116" s="261"/>
      <c r="K116"/>
      <c r="L116"/>
      <c r="M116"/>
      <c r="N116"/>
      <c r="O116"/>
      <c r="P116"/>
      <c r="Q116"/>
      <c r="R116"/>
      <c r="S116"/>
      <c r="U116" s="495"/>
      <c r="V116" s="490"/>
      <c r="W116" s="502"/>
      <c r="X116" s="503"/>
      <c r="Y116" s="504"/>
      <c r="Z116" s="538"/>
      <c r="AA116" s="506"/>
      <c r="AB116" s="240" t="s">
        <v>262</v>
      </c>
      <c r="AC116" s="240"/>
      <c r="AD116" s="240"/>
      <c r="AE116" s="240"/>
      <c r="AF116" s="240"/>
      <c r="AG116" s="240"/>
      <c r="AH116" s="240"/>
      <c r="AI116" s="240"/>
      <c r="AJ116" s="240"/>
      <c r="AK116" s="240"/>
      <c r="AL116" s="240"/>
      <c r="AM116" s="240"/>
      <c r="AN116" s="240"/>
      <c r="AO116" s="240"/>
      <c r="AP116" s="240"/>
      <c r="AQ116" s="240"/>
      <c r="AR116" s="536"/>
      <c r="AS116" s="536"/>
      <c r="AT116" s="536"/>
      <c r="AU116" s="536"/>
      <c r="AV116" s="536"/>
      <c r="AW116" s="537"/>
      <c r="AY116" s="4"/>
      <c r="AZ116" s="4"/>
      <c r="BA116" s="4"/>
      <c r="BB116" s="4"/>
      <c r="BC116" s="4"/>
      <c r="BD116" s="4"/>
      <c r="BE116"/>
      <c r="BF116" s="313"/>
      <c r="BG116" s="318"/>
      <c r="BH116" s="318"/>
      <c r="BI116" s="318"/>
      <c r="BJ116" s="318"/>
      <c r="BK116" s="318"/>
      <c r="BL116" s="318"/>
      <c r="BM116" s="318"/>
      <c r="BN116" s="318"/>
      <c r="BO116" s="318"/>
      <c r="BP116" s="318"/>
      <c r="BQ116" s="318"/>
      <c r="BR116" s="318"/>
      <c r="BS116" s="318"/>
      <c r="BT116" s="318"/>
      <c r="BU116" s="318"/>
      <c r="BV116" s="318"/>
      <c r="BW116" s="318"/>
      <c r="BX116" s="318"/>
      <c r="BY116" s="318"/>
      <c r="BZ116" s="531"/>
      <c r="CA116" s="275"/>
      <c r="CB116" s="276"/>
      <c r="CC116" s="277"/>
    </row>
    <row r="117" s="27" customFormat="1" customHeight="1" spans="10:81">
      <c r="J117" s="261"/>
      <c r="K117"/>
      <c r="L117"/>
      <c r="M117"/>
      <c r="N117"/>
      <c r="O117"/>
      <c r="P117"/>
      <c r="Q117"/>
      <c r="R117"/>
      <c r="S117"/>
      <c r="U117" s="495"/>
      <c r="V117" s="490"/>
      <c r="W117" s="502"/>
      <c r="X117" s="503"/>
      <c r="Y117" s="504"/>
      <c r="Z117" s="505" t="s">
        <v>263</v>
      </c>
      <c r="AA117" s="506"/>
      <c r="AB117" s="243" t="s">
        <v>264</v>
      </c>
      <c r="AC117" s="244" t="s">
        <v>265</v>
      </c>
      <c r="AD117" s="244"/>
      <c r="AE117" s="244"/>
      <c r="AF117" s="244"/>
      <c r="AG117" s="244"/>
      <c r="AH117" s="244"/>
      <c r="AI117" s="244"/>
      <c r="AJ117" s="244"/>
      <c r="AK117" s="244"/>
      <c r="AL117" s="244"/>
      <c r="AM117" s="244"/>
      <c r="AN117" s="244"/>
      <c r="AO117" s="244"/>
      <c r="AP117" s="244"/>
      <c r="AQ117" s="244"/>
      <c r="AR117" s="536"/>
      <c r="AS117" s="536"/>
      <c r="AT117" s="536"/>
      <c r="AU117" s="536"/>
      <c r="AV117" s="536"/>
      <c r="AW117" s="537"/>
      <c r="AY117" s="4"/>
      <c r="AZ117" s="4"/>
      <c r="BA117" s="4"/>
      <c r="BB117" s="4"/>
      <c r="BC117" s="4"/>
      <c r="BD117" s="4"/>
      <c r="BE117"/>
      <c r="BF117" s="313"/>
      <c r="BG117" s="318"/>
      <c r="BH117" s="318"/>
      <c r="BI117" s="318"/>
      <c r="BJ117" s="318"/>
      <c r="BK117" s="318"/>
      <c r="BL117" s="318"/>
      <c r="BM117" s="318"/>
      <c r="BN117" s="318"/>
      <c r="BO117" s="318"/>
      <c r="BP117" s="318"/>
      <c r="BQ117" s="318"/>
      <c r="BR117" s="318"/>
      <c r="BS117" s="318"/>
      <c r="BT117" s="318"/>
      <c r="BU117" s="318"/>
      <c r="BV117" s="318"/>
      <c r="BW117" s="318"/>
      <c r="BX117" s="318"/>
      <c r="BY117" s="318"/>
      <c r="BZ117" s="531"/>
      <c r="CA117" s="275"/>
      <c r="CB117" s="276"/>
      <c r="CC117" s="277"/>
    </row>
    <row r="118" s="27" customFormat="1" customHeight="1" spans="10:81">
      <c r="J118" s="261"/>
      <c r="K118"/>
      <c r="L118"/>
      <c r="M118"/>
      <c r="N118"/>
      <c r="O118"/>
      <c r="P118"/>
      <c r="Q118"/>
      <c r="R118"/>
      <c r="S118"/>
      <c r="U118" s="495"/>
      <c r="V118" s="490"/>
      <c r="W118" s="502"/>
      <c r="X118" s="503"/>
      <c r="Y118" s="504"/>
      <c r="Z118" s="505"/>
      <c r="AA118" s="506"/>
      <c r="AB118" s="243"/>
      <c r="AC118" s="244"/>
      <c r="AD118" s="539"/>
      <c r="AE118" s="539"/>
      <c r="AF118" s="539"/>
      <c r="AG118" s="539"/>
      <c r="AH118" s="539"/>
      <c r="AI118" s="539"/>
      <c r="AJ118" s="539"/>
      <c r="AK118" s="539"/>
      <c r="AL118" s="539"/>
      <c r="AM118" s="539"/>
      <c r="AN118" s="539"/>
      <c r="AO118" s="539"/>
      <c r="AP118" s="539"/>
      <c r="AQ118" s="244"/>
      <c r="AR118" s="536"/>
      <c r="AS118" s="536"/>
      <c r="AT118" s="536"/>
      <c r="AU118" s="536"/>
      <c r="AV118" s="536"/>
      <c r="AW118" s="537"/>
      <c r="AY118" s="4"/>
      <c r="AZ118" s="4"/>
      <c r="BA118" s="4"/>
      <c r="BB118" s="4"/>
      <c r="BC118" s="4"/>
      <c r="BD118" s="4"/>
      <c r="BE118"/>
      <c r="BF118" s="313"/>
      <c r="BG118" s="318"/>
      <c r="BH118" s="318"/>
      <c r="BI118" s="318"/>
      <c r="BJ118" s="318"/>
      <c r="BK118" s="318"/>
      <c r="BL118" s="318"/>
      <c r="BM118" s="318"/>
      <c r="BN118" s="318"/>
      <c r="BO118" s="318"/>
      <c r="BP118" s="318"/>
      <c r="BQ118" s="318"/>
      <c r="BR118" s="318"/>
      <c r="BS118" s="318"/>
      <c r="BT118" s="318"/>
      <c r="BU118" s="318"/>
      <c r="BV118" s="318"/>
      <c r="BW118" s="318"/>
      <c r="BX118" s="318"/>
      <c r="BY118" s="318"/>
      <c r="BZ118" s="531"/>
      <c r="CA118" s="275"/>
      <c r="CB118" s="276"/>
      <c r="CC118" s="277"/>
    </row>
    <row r="119" s="27" customFormat="1" customHeight="1" spans="10:81">
      <c r="J119" s="261"/>
      <c r="K119"/>
      <c r="L119"/>
      <c r="M119"/>
      <c r="N119"/>
      <c r="O119"/>
      <c r="P119"/>
      <c r="Q119"/>
      <c r="R119"/>
      <c r="S119"/>
      <c r="U119" s="495"/>
      <c r="V119" s="490"/>
      <c r="W119" s="540"/>
      <c r="X119" s="541"/>
      <c r="Y119" s="542"/>
      <c r="Z119" s="543"/>
      <c r="AA119" s="544"/>
      <c r="AB119" s="545"/>
      <c r="AC119" s="546"/>
      <c r="AD119" s="546"/>
      <c r="AE119" s="546"/>
      <c r="AF119" s="546"/>
      <c r="AG119" s="546"/>
      <c r="AH119" s="546"/>
      <c r="AI119" s="546"/>
      <c r="AJ119" s="546"/>
      <c r="AK119" s="546"/>
      <c r="AL119" s="546"/>
      <c r="AM119" s="546"/>
      <c r="AN119" s="546"/>
      <c r="AO119" s="546"/>
      <c r="AP119" s="546"/>
      <c r="AQ119" s="546"/>
      <c r="AR119" s="547"/>
      <c r="AS119" s="547"/>
      <c r="AT119" s="547"/>
      <c r="AU119" s="547"/>
      <c r="AV119" s="547"/>
      <c r="AW119" s="548"/>
      <c r="AY119" s="4"/>
      <c r="AZ119" s="4"/>
      <c r="BA119" s="4"/>
      <c r="BB119" s="4"/>
      <c r="BC119" s="4"/>
      <c r="BD119" s="4"/>
      <c r="BE119"/>
      <c r="BF119" s="313"/>
      <c r="BG119" s="318"/>
      <c r="BH119" s="318"/>
      <c r="BI119" s="318"/>
      <c r="BJ119" s="318"/>
      <c r="BK119" s="318"/>
      <c r="BL119" s="318"/>
      <c r="BM119" s="318"/>
      <c r="BN119" s="318"/>
      <c r="BO119" s="318"/>
      <c r="BP119" s="318"/>
      <c r="BQ119" s="318"/>
      <c r="BR119" s="318"/>
      <c r="BS119" s="318"/>
      <c r="BT119" s="318"/>
      <c r="BU119" s="318"/>
      <c r="BV119" s="318"/>
      <c r="BW119" s="318"/>
      <c r="BX119" s="318"/>
      <c r="BY119" s="318"/>
      <c r="BZ119" s="531"/>
      <c r="CA119" s="275"/>
      <c r="CB119" s="276"/>
      <c r="CC119" s="277"/>
    </row>
    <row r="120" s="27" customFormat="1" customHeight="1" spans="10:81">
      <c r="J120" s="261"/>
      <c r="K120"/>
      <c r="L120"/>
      <c r="M120"/>
      <c r="N120"/>
      <c r="O120"/>
      <c r="P120"/>
      <c r="Q120"/>
      <c r="R120"/>
      <c r="S120"/>
      <c r="U120" s="495"/>
      <c r="V120" s="490"/>
      <c r="W120" s="549" t="s">
        <v>266</v>
      </c>
      <c r="X120" s="549"/>
      <c r="Y120" s="549"/>
      <c r="Z120" s="549"/>
      <c r="AA120" s="549"/>
      <c r="AB120" s="549"/>
      <c r="AC120" s="549"/>
      <c r="AD120" s="549"/>
      <c r="AE120" s="549"/>
      <c r="AF120" s="549"/>
      <c r="AG120" s="549"/>
      <c r="AH120" s="549"/>
      <c r="AI120" s="549"/>
      <c r="AJ120" s="549"/>
      <c r="AK120" s="549"/>
      <c r="AL120" s="549"/>
      <c r="AM120" s="549"/>
      <c r="AN120" s="549"/>
      <c r="AO120" s="549"/>
      <c r="AP120" s="549"/>
      <c r="AQ120" s="549"/>
      <c r="AR120" s="549"/>
      <c r="AS120" s="549"/>
      <c r="AT120" s="549"/>
      <c r="AU120" s="549"/>
      <c r="AV120" s="549"/>
      <c r="AW120" s="549"/>
      <c r="AY120" s="4"/>
      <c r="AZ120" s="4"/>
      <c r="BA120" s="4"/>
      <c r="BB120" s="4"/>
      <c r="BC120" s="4"/>
      <c r="BD120" s="4"/>
      <c r="BE120"/>
      <c r="BF120" s="550" t="s">
        <v>267</v>
      </c>
      <c r="BG120" s="550"/>
      <c r="BH120" s="550"/>
      <c r="BI120" s="550"/>
      <c r="BJ120" s="550"/>
      <c r="BK120" s="550"/>
      <c r="BL120" s="551" t="s">
        <v>268</v>
      </c>
      <c r="BM120" s="551"/>
      <c r="BN120" s="551"/>
      <c r="BO120" s="551"/>
      <c r="BP120" s="551"/>
      <c r="BQ120" s="551"/>
      <c r="BR120" s="552" t="s">
        <v>269</v>
      </c>
      <c r="BS120" s="552"/>
      <c r="BT120" s="553" t="s">
        <v>270</v>
      </c>
      <c r="BU120" s="553"/>
      <c r="BV120" s="552" t="s">
        <v>271</v>
      </c>
      <c r="BW120" s="552"/>
      <c r="BX120" s="553" t="s">
        <v>272</v>
      </c>
      <c r="BY120" s="553"/>
      <c r="BZ120" s="531"/>
      <c r="CA120" s="275"/>
      <c r="CB120" s="276"/>
      <c r="CC120" s="277"/>
    </row>
    <row r="121" s="27" customFormat="1" customHeight="1" spans="10:81">
      <c r="J121" s="261"/>
      <c r="K121"/>
      <c r="L121"/>
      <c r="M121"/>
      <c r="N121"/>
      <c r="O121"/>
      <c r="P121"/>
      <c r="Q121"/>
      <c r="R121"/>
      <c r="S121"/>
      <c r="U121" s="495"/>
      <c r="V121" s="490"/>
      <c r="W121" s="549"/>
      <c r="X121" s="554"/>
      <c r="Y121" s="554"/>
      <c r="Z121" s="554"/>
      <c r="AA121" s="554"/>
      <c r="AB121" s="554"/>
      <c r="AC121" s="554"/>
      <c r="AD121" s="554"/>
      <c r="AE121" s="554"/>
      <c r="AF121" s="554"/>
      <c r="AG121" s="554"/>
      <c r="AH121" s="554"/>
      <c r="AI121" s="554"/>
      <c r="AJ121" s="554"/>
      <c r="AK121" s="554"/>
      <c r="AL121" s="554"/>
      <c r="AM121" s="554"/>
      <c r="AN121" s="554"/>
      <c r="AO121" s="554"/>
      <c r="AP121" s="554"/>
      <c r="AQ121" s="554"/>
      <c r="AR121" s="554"/>
      <c r="AS121" s="554"/>
      <c r="AT121" s="554"/>
      <c r="AU121" s="554"/>
      <c r="AV121" s="554"/>
      <c r="AW121" s="549"/>
      <c r="AY121" s="4"/>
      <c r="AZ121" s="4"/>
      <c r="BA121" s="4"/>
      <c r="BB121" s="4"/>
      <c r="BC121" s="4"/>
      <c r="BD121" s="4"/>
      <c r="BE121"/>
      <c r="BF121" s="555"/>
      <c r="BG121" s="555"/>
      <c r="BH121" s="555"/>
      <c r="BI121" s="555"/>
      <c r="BJ121" s="555"/>
      <c r="BK121" s="555"/>
      <c r="BL121" s="556"/>
      <c r="BM121" s="556"/>
      <c r="BN121" s="556"/>
      <c r="BO121" s="556"/>
      <c r="BP121" s="556"/>
      <c r="BQ121" s="556"/>
      <c r="BR121" s="557" t="s">
        <v>273</v>
      </c>
      <c r="BS121" s="557"/>
      <c r="BT121" s="558"/>
      <c r="BU121" s="558"/>
      <c r="BV121" s="559" t="s">
        <v>274</v>
      </c>
      <c r="BW121" s="559"/>
      <c r="BX121" s="508"/>
      <c r="BY121" s="508"/>
      <c r="BZ121" s="531"/>
      <c r="CA121" s="275"/>
      <c r="CB121" s="276"/>
      <c r="CC121" s="277"/>
    </row>
    <row r="122" s="27" customFormat="1" customHeight="1" spans="10:81">
      <c r="J122" s="261"/>
      <c r="K122"/>
      <c r="L122"/>
      <c r="M122"/>
      <c r="N122"/>
      <c r="O122"/>
      <c r="P122"/>
      <c r="Q122"/>
      <c r="R122"/>
      <c r="S122"/>
      <c r="U122" s="495"/>
      <c r="V122" s="490"/>
      <c r="W122" s="549"/>
      <c r="X122" s="554"/>
      <c r="Y122" s="554"/>
      <c r="Z122" s="554"/>
      <c r="AA122" s="554"/>
      <c r="AB122" s="554"/>
      <c r="AC122" s="554"/>
      <c r="AD122" s="554"/>
      <c r="AE122" s="554"/>
      <c r="AF122" s="554"/>
      <c r="AG122" s="554"/>
      <c r="AH122" s="554"/>
      <c r="AI122" s="554"/>
      <c r="AJ122" s="554"/>
      <c r="AK122" s="554"/>
      <c r="AL122" s="554"/>
      <c r="AM122" s="554"/>
      <c r="AN122" s="554"/>
      <c r="AO122" s="554"/>
      <c r="AP122" s="554"/>
      <c r="AQ122" s="554"/>
      <c r="AR122" s="554"/>
      <c r="AS122" s="554"/>
      <c r="AT122" s="554"/>
      <c r="AU122" s="554"/>
      <c r="AV122" s="554"/>
      <c r="AW122" s="549"/>
      <c r="AY122" s="4"/>
      <c r="AZ122" s="4"/>
      <c r="BA122" s="4"/>
      <c r="BB122" s="4"/>
      <c r="BC122" s="4"/>
      <c r="BD122" s="4"/>
      <c r="BE122"/>
      <c r="BF122" s="560"/>
      <c r="BG122" s="560"/>
      <c r="BH122" s="560"/>
      <c r="BI122" s="561" t="s">
        <v>275</v>
      </c>
      <c r="BJ122" s="561" t="s">
        <v>276</v>
      </c>
      <c r="BK122" s="561" t="s">
        <v>277</v>
      </c>
      <c r="BL122" s="562"/>
      <c r="BM122" s="562"/>
      <c r="BN122" s="562"/>
      <c r="BO122" s="562"/>
      <c r="BP122" s="562"/>
      <c r="BQ122" s="562"/>
      <c r="BR122" s="11"/>
      <c r="BS122" s="11"/>
      <c r="BT122" s="563"/>
      <c r="BU122" s="563"/>
      <c r="BV122" s="11"/>
      <c r="BW122" s="11"/>
      <c r="BX122" s="11"/>
      <c r="BY122" s="11"/>
      <c r="BZ122" s="531"/>
      <c r="CA122" s="275"/>
      <c r="CB122" s="276"/>
      <c r="CC122" s="277"/>
    </row>
    <row r="123" s="27" customFormat="1" customHeight="1" spans="10:81">
      <c r="J123" s="261"/>
      <c r="K123"/>
      <c r="L123"/>
      <c r="M123"/>
      <c r="N123"/>
      <c r="O123"/>
      <c r="P123"/>
      <c r="Q123"/>
      <c r="R123"/>
      <c r="S123"/>
      <c r="U123" s="495"/>
      <c r="V123" s="490"/>
      <c r="W123" s="549"/>
      <c r="X123" s="549"/>
      <c r="Y123" s="549"/>
      <c r="Z123" s="549"/>
      <c r="AA123" s="549"/>
      <c r="AB123" s="549"/>
      <c r="AC123" s="549"/>
      <c r="AD123" s="549"/>
      <c r="AE123" s="549"/>
      <c r="AF123" s="549"/>
      <c r="AG123" s="549"/>
      <c r="AH123" s="549"/>
      <c r="AI123" s="549"/>
      <c r="AJ123" s="549"/>
      <c r="AK123" s="549"/>
      <c r="AL123" s="549"/>
      <c r="AM123" s="549"/>
      <c r="AN123" s="549"/>
      <c r="AO123" s="549"/>
      <c r="AP123" s="549"/>
      <c r="AQ123" s="549"/>
      <c r="AR123" s="549"/>
      <c r="AS123" s="549"/>
      <c r="AT123" s="549"/>
      <c r="AU123" s="549"/>
      <c r="AV123" s="549"/>
      <c r="AW123" s="549"/>
      <c r="AY123" s="4"/>
      <c r="AZ123" s="4"/>
      <c r="BA123" s="4"/>
      <c r="BB123" s="4"/>
      <c r="BC123" s="4"/>
      <c r="BD123" s="4"/>
      <c r="BE123"/>
      <c r="BF123" s="564"/>
      <c r="BG123" s="564"/>
      <c r="BH123" s="564"/>
      <c r="BI123" s="565"/>
      <c r="BJ123" s="566"/>
      <c r="BK123" s="566"/>
      <c r="BL123" s="567" t="s">
        <v>278</v>
      </c>
      <c r="BM123" s="568"/>
      <c r="BN123" s="569" t="s">
        <v>279</v>
      </c>
      <c r="BO123" s="569" t="s">
        <v>280</v>
      </c>
      <c r="BP123" s="569" t="s">
        <v>280</v>
      </c>
      <c r="BQ123" s="570" t="s">
        <v>281</v>
      </c>
      <c r="BR123" s="11"/>
      <c r="BS123" s="11"/>
      <c r="BT123" s="563"/>
      <c r="BU123" s="563"/>
      <c r="BV123" s="11"/>
      <c r="BW123" s="11"/>
      <c r="BX123" s="571" t="s">
        <v>282</v>
      </c>
      <c r="BY123" s="571"/>
      <c r="BZ123" s="531"/>
      <c r="CA123" s="275"/>
      <c r="CB123" s="276"/>
      <c r="CC123" s="277"/>
    </row>
    <row r="124" s="27" customFormat="1" customHeight="1" spans="10:81">
      <c r="J124" s="261"/>
      <c r="U124" s="495"/>
      <c r="V124" s="490"/>
      <c r="AY124" s="4"/>
      <c r="AZ124" s="4"/>
      <c r="BA124" s="4"/>
      <c r="BB124" s="4"/>
      <c r="BC124" s="4"/>
      <c r="BD124" s="4"/>
      <c r="BE124"/>
      <c r="BF124" s="572" t="s">
        <v>283</v>
      </c>
      <c r="BG124" s="572"/>
      <c r="BH124" s="572"/>
      <c r="BI124" s="573" t="s">
        <v>284</v>
      </c>
      <c r="BJ124" s="574" t="s">
        <v>285</v>
      </c>
      <c r="BK124" s="574" t="s">
        <v>286</v>
      </c>
      <c r="BL124" s="575" t="s">
        <v>287</v>
      </c>
      <c r="BM124" s="576"/>
      <c r="BN124" s="577" t="s">
        <v>288</v>
      </c>
      <c r="BO124" s="578" t="s">
        <v>289</v>
      </c>
      <c r="BP124" s="578" t="s">
        <v>289</v>
      </c>
      <c r="BQ124" s="579" t="s">
        <v>290</v>
      </c>
      <c r="BR124" s="580"/>
      <c r="BS124" s="580"/>
      <c r="BT124" s="581"/>
      <c r="BU124" s="581"/>
      <c r="BV124" s="582" t="s">
        <v>291</v>
      </c>
      <c r="BW124" s="582"/>
      <c r="BX124" s="512"/>
      <c r="BY124" s="515"/>
      <c r="BZ124" s="531"/>
      <c r="CA124" s="275"/>
      <c r="CB124" s="276"/>
      <c r="CC124" s="277"/>
    </row>
    <row r="125" s="27" customFormat="1" customHeight="1" spans="10:81">
      <c r="J125" s="261"/>
      <c r="U125" s="495"/>
      <c r="V125" s="490"/>
      <c r="AY125" s="583"/>
      <c r="AZ125" s="583"/>
      <c r="BA125" s="583"/>
      <c r="BB125" s="583"/>
      <c r="BC125" s="583"/>
      <c r="BD125" s="583"/>
      <c r="BE125"/>
      <c r="BF125" s="584"/>
      <c r="BG125" s="584"/>
      <c r="BH125" s="584"/>
      <c r="BI125" s="585" t="s">
        <v>292</v>
      </c>
      <c r="BJ125" s="586" t="s">
        <v>293</v>
      </c>
      <c r="BK125" s="586" t="s">
        <v>292</v>
      </c>
      <c r="BL125" s="587"/>
      <c r="BM125" s="588"/>
      <c r="BN125" s="569"/>
      <c r="BO125" s="589"/>
      <c r="BP125" s="589"/>
      <c r="BQ125" s="570"/>
      <c r="BR125" s="590"/>
      <c r="BS125" s="590"/>
      <c r="BT125" s="591"/>
      <c r="BU125" s="591"/>
      <c r="BV125" s="522" t="s">
        <v>294</v>
      </c>
      <c r="BW125" s="522"/>
      <c r="BX125" s="522"/>
      <c r="BY125" s="522"/>
      <c r="BZ125" s="592"/>
      <c r="CA125" s="275"/>
      <c r="CB125" s="276"/>
      <c r="CC125" s="277"/>
    </row>
    <row r="126" s="27" customFormat="1" customHeight="1" spans="10:81">
      <c r="J126" s="261"/>
      <c r="U126" s="495"/>
      <c r="V126" s="490"/>
      <c r="AY126" s="593" t="s">
        <v>295</v>
      </c>
      <c r="AZ126" s="594"/>
      <c r="BA126" s="594"/>
      <c r="BB126" s="594"/>
      <c r="BC126" s="594"/>
      <c r="BD126" s="594"/>
      <c r="BE126"/>
      <c r="BF126" s="584" t="s">
        <v>296</v>
      </c>
      <c r="BG126" s="584"/>
      <c r="BH126" s="584"/>
      <c r="BI126" s="595" t="s">
        <v>297</v>
      </c>
      <c r="BJ126" s="586" t="s">
        <v>298</v>
      </c>
      <c r="BK126" s="586" t="s">
        <v>299</v>
      </c>
      <c r="BL126" s="596" t="s">
        <v>300</v>
      </c>
      <c r="BM126" s="597"/>
      <c r="BN126" s="569" t="s">
        <v>301</v>
      </c>
      <c r="BO126" s="598" t="s">
        <v>302</v>
      </c>
      <c r="BP126" s="598" t="s">
        <v>302</v>
      </c>
      <c r="BQ126" s="570"/>
      <c r="BR126" s="599" t="s">
        <v>303</v>
      </c>
      <c r="BS126" s="599"/>
      <c r="BT126" s="599"/>
      <c r="BU126" s="599"/>
      <c r="BV126" s="522"/>
      <c r="BW126" s="522"/>
      <c r="BX126" s="522"/>
      <c r="BY126" s="522"/>
      <c r="BZ126" s="592"/>
      <c r="CA126" s="275"/>
      <c r="CB126" s="276"/>
      <c r="CC126" s="277"/>
    </row>
    <row r="127" s="27" customFormat="1" customHeight="1" spans="10:81">
      <c r="J127" s="261"/>
      <c r="U127" s="495"/>
      <c r="V127" s="490"/>
      <c r="AY127" s="600"/>
      <c r="AZ127" s="600"/>
      <c r="BA127" s="600"/>
      <c r="BB127" s="600"/>
      <c r="BC127" s="600"/>
      <c r="BD127" s="600"/>
      <c r="BE127"/>
      <c r="BF127" s="584" t="s">
        <v>304</v>
      </c>
      <c r="BG127" s="584"/>
      <c r="BH127" s="584"/>
      <c r="BI127" s="595" t="s">
        <v>305</v>
      </c>
      <c r="BJ127" s="586" t="s">
        <v>306</v>
      </c>
      <c r="BK127" s="586" t="s">
        <v>307</v>
      </c>
      <c r="BL127" s="601" t="s">
        <v>308</v>
      </c>
      <c r="BM127" s="602"/>
      <c r="BN127" s="603" t="s">
        <v>309</v>
      </c>
      <c r="BO127" s="604" t="s">
        <v>310</v>
      </c>
      <c r="BP127" s="604" t="s">
        <v>310</v>
      </c>
      <c r="BQ127" s="605"/>
      <c r="BR127" s="606"/>
      <c r="BS127" s="606"/>
      <c r="BT127" s="571"/>
      <c r="BU127" s="571"/>
      <c r="BV127" s="522"/>
      <c r="BW127" s="522"/>
      <c r="BX127" s="522"/>
      <c r="BY127" s="522"/>
      <c r="BZ127" s="592"/>
      <c r="CA127" s="275"/>
      <c r="CB127" s="276"/>
      <c r="CC127" s="277"/>
    </row>
    <row r="128" s="27" customFormat="1" customHeight="1" spans="10:81">
      <c r="J128" s="261"/>
      <c r="K128" s="42"/>
      <c r="L128" s="42"/>
      <c r="M128" s="42"/>
      <c r="N128" s="42"/>
      <c r="O128" s="42"/>
      <c r="P128" s="42"/>
      <c r="Q128" s="42"/>
      <c r="R128" s="42"/>
      <c r="S128" s="42"/>
      <c r="U128" s="495"/>
      <c r="V128" s="490"/>
      <c r="AY128" s="600"/>
      <c r="AZ128" s="600"/>
      <c r="BA128" s="600"/>
      <c r="BB128" s="600"/>
      <c r="BC128" s="600"/>
      <c r="BD128" s="600"/>
      <c r="BE128"/>
      <c r="BF128" s="607"/>
      <c r="BG128" s="607"/>
      <c r="BH128" s="607"/>
      <c r="BI128" s="608"/>
      <c r="BJ128" s="609"/>
      <c r="BK128" s="609"/>
      <c r="BL128" s="610" t="s">
        <v>311</v>
      </c>
      <c r="BM128" s="611"/>
      <c r="BN128" s="569" t="s">
        <v>312</v>
      </c>
      <c r="BO128" s="598" t="s">
        <v>313</v>
      </c>
      <c r="BP128" s="598" t="s">
        <v>313</v>
      </c>
      <c r="BQ128" s="570" t="s">
        <v>314</v>
      </c>
      <c r="BR128" s="512"/>
      <c r="BS128" s="512"/>
      <c r="BT128" s="512" t="s">
        <v>315</v>
      </c>
      <c r="BU128" s="512"/>
      <c r="BV128" s="522"/>
      <c r="BW128" s="522"/>
      <c r="BX128" s="522"/>
      <c r="BY128" s="522"/>
      <c r="BZ128" s="592"/>
      <c r="CA128" s="275"/>
      <c r="CB128" s="276"/>
      <c r="CC128" s="277"/>
    </row>
    <row r="129" s="27" customFormat="1" customHeight="1" spans="10:81">
      <c r="J129" s="261"/>
      <c r="K129" s="42"/>
      <c r="L129" s="42"/>
      <c r="M129" s="42"/>
      <c r="N129" s="42"/>
      <c r="O129" s="42"/>
      <c r="P129" s="42"/>
      <c r="Q129" s="42"/>
      <c r="R129" s="42"/>
      <c r="S129" s="42"/>
      <c r="U129" s="495"/>
      <c r="V129" s="490"/>
      <c r="AY129" s="600"/>
      <c r="AZ129" s="600"/>
      <c r="BA129" s="600"/>
      <c r="BB129" s="600"/>
      <c r="BC129" s="600"/>
      <c r="BD129" s="600"/>
      <c r="BE129"/>
      <c r="BF129" s="528" t="s">
        <v>316</v>
      </c>
      <c r="BG129" s="528"/>
      <c r="BH129" s="528"/>
      <c r="BI129" s="528"/>
      <c r="BJ129" s="528"/>
      <c r="BK129" s="528"/>
      <c r="BL129" s="528"/>
      <c r="BM129" s="528"/>
      <c r="BN129" s="528"/>
      <c r="BO129" s="528"/>
      <c r="BP129" s="528"/>
      <c r="BQ129" s="528"/>
      <c r="BR129" s="528"/>
      <c r="BS129" s="528"/>
      <c r="BT129" s="528"/>
      <c r="BU129" s="528"/>
      <c r="BV129" s="528"/>
      <c r="BW129" s="528"/>
      <c r="BX129" s="528"/>
      <c r="BY129" s="528"/>
      <c r="BZ129" s="592"/>
      <c r="CA129" s="275"/>
      <c r="CB129" s="276"/>
      <c r="CC129" s="277"/>
    </row>
    <row r="130" s="27" customFormat="1" customHeight="1" spans="10:81">
      <c r="J130" s="261"/>
      <c r="K130" s="42"/>
      <c r="L130" s="42"/>
      <c r="M130" s="42"/>
      <c r="N130" s="42"/>
      <c r="O130" s="42"/>
      <c r="P130" s="42"/>
      <c r="Q130" s="42"/>
      <c r="R130" s="42"/>
      <c r="S130" s="42"/>
      <c r="U130" s="495"/>
      <c r="V130" s="490"/>
      <c r="AY130" s="600"/>
      <c r="AZ130" s="600"/>
      <c r="BA130" s="600"/>
      <c r="BB130" s="600"/>
      <c r="BC130" s="600"/>
      <c r="BD130" s="600"/>
      <c r="BE130"/>
      <c r="BF130" s="528"/>
      <c r="BG130" s="528"/>
      <c r="BH130" s="528"/>
      <c r="BI130" s="528"/>
      <c r="BJ130" s="528"/>
      <c r="BK130" s="528"/>
      <c r="BL130" s="528"/>
      <c r="BM130" s="528"/>
      <c r="BN130" s="528"/>
      <c r="BO130" s="528"/>
      <c r="BP130" s="528"/>
      <c r="BQ130" s="528"/>
      <c r="BR130" s="528"/>
      <c r="BS130" s="528"/>
      <c r="BT130" s="528"/>
      <c r="BU130" s="528"/>
      <c r="BV130" s="528"/>
      <c r="BW130" s="528"/>
      <c r="BX130" s="528"/>
      <c r="BY130" s="528"/>
      <c r="BZ130" s="592"/>
      <c r="CA130" s="275"/>
      <c r="CB130" s="276"/>
      <c r="CC130" s="277"/>
    </row>
    <row r="131" s="27" customFormat="1" customHeight="1" spans="10:81">
      <c r="J131" s="261"/>
      <c r="K131" s="42"/>
      <c r="L131" s="42"/>
      <c r="M131" s="42"/>
      <c r="N131" s="42"/>
      <c r="O131" s="42"/>
      <c r="P131" s="42"/>
      <c r="Q131" s="42"/>
      <c r="R131" s="42"/>
      <c r="S131" s="42"/>
      <c r="U131" s="495"/>
      <c r="V131" s="490"/>
      <c r="AY131" s="600"/>
      <c r="AZ131" s="600"/>
      <c r="BA131" s="600"/>
      <c r="BB131" s="600"/>
      <c r="BC131" s="600"/>
      <c r="BD131" s="600"/>
      <c r="BE131"/>
      <c r="BF131" s="528"/>
      <c r="BG131" s="528"/>
      <c r="BH131" s="528"/>
      <c r="BI131" s="528"/>
      <c r="BJ131" s="528"/>
      <c r="BK131" s="528"/>
      <c r="BL131" s="528"/>
      <c r="BM131" s="528"/>
      <c r="BN131" s="528"/>
      <c r="BO131" s="528"/>
      <c r="BP131" s="528"/>
      <c r="BQ131" s="528"/>
      <c r="BR131" s="528"/>
      <c r="BS131" s="528"/>
      <c r="BT131" s="528"/>
      <c r="BU131" s="528"/>
      <c r="BV131" s="528"/>
      <c r="BW131" s="528"/>
      <c r="BX131" s="528"/>
      <c r="BY131" s="528"/>
      <c r="BZ131" s="592"/>
      <c r="CA131" s="275"/>
      <c r="CB131" s="276"/>
      <c r="CC131" s="277"/>
    </row>
    <row r="132" s="27" customFormat="1" customHeight="1" spans="10:81">
      <c r="J132" s="261"/>
      <c r="K132" s="42"/>
      <c r="L132" s="42"/>
      <c r="M132" s="42"/>
      <c r="N132" s="42"/>
      <c r="O132" s="42"/>
      <c r="P132" s="42"/>
      <c r="Q132" s="42"/>
      <c r="R132" s="42"/>
      <c r="S132" s="42"/>
      <c r="U132" s="495"/>
      <c r="V132" s="490"/>
      <c r="AY132" s="600"/>
      <c r="AZ132" s="600"/>
      <c r="BA132" s="600"/>
      <c r="BB132" s="600"/>
      <c r="BC132" s="600"/>
      <c r="BD132" s="600"/>
      <c r="BE132"/>
      <c r="BF132" s="528"/>
      <c r="BG132" s="528"/>
      <c r="BH132" s="528"/>
      <c r="BI132" s="528"/>
      <c r="BJ132" s="528"/>
      <c r="BK132" s="528"/>
      <c r="BL132" s="528"/>
      <c r="BM132" s="528"/>
      <c r="BN132" s="528"/>
      <c r="BO132" s="528"/>
      <c r="BP132" s="528"/>
      <c r="BQ132" s="528"/>
      <c r="BR132" s="528"/>
      <c r="BS132" s="528"/>
      <c r="BT132" s="528"/>
      <c r="BU132" s="528"/>
      <c r="BV132" s="528"/>
      <c r="BW132" s="528"/>
      <c r="BX132" s="528"/>
      <c r="BY132" s="528"/>
      <c r="BZ132" s="592"/>
      <c r="CA132" s="275"/>
      <c r="CB132" s="276"/>
      <c r="CC132" s="277"/>
    </row>
    <row r="133" s="27" customFormat="1" customHeight="1" spans="10:81">
      <c r="J133" s="261"/>
      <c r="K133" s="42"/>
      <c r="L133" s="42"/>
      <c r="M133" s="42"/>
      <c r="N133" s="42"/>
      <c r="O133" s="42"/>
      <c r="P133" s="42"/>
      <c r="Q133" s="42"/>
      <c r="R133" s="42"/>
      <c r="S133" s="42"/>
      <c r="U133" s="495"/>
      <c r="V133" s="490"/>
      <c r="AY133" s="600"/>
      <c r="AZ133" s="600"/>
      <c r="BA133" s="600"/>
      <c r="BB133" s="600"/>
      <c r="BC133" s="600"/>
      <c r="BD133" s="600"/>
      <c r="BE133"/>
      <c r="BF133" s="528"/>
      <c r="BG133" s="528"/>
      <c r="BH133" s="528"/>
      <c r="BI133" s="528"/>
      <c r="BJ133" s="528"/>
      <c r="BK133" s="528"/>
      <c r="BL133" s="528"/>
      <c r="BM133" s="528"/>
      <c r="BN133" s="528"/>
      <c r="BO133" s="528"/>
      <c r="BP133" s="528"/>
      <c r="BQ133" s="528"/>
      <c r="BR133" s="528"/>
      <c r="BS133" s="528"/>
      <c r="BT133" s="528"/>
      <c r="BU133" s="528"/>
      <c r="BV133" s="528"/>
      <c r="BW133" s="528"/>
      <c r="BX133" s="528"/>
      <c r="BY133" s="528"/>
      <c r="BZ133" s="592"/>
      <c r="CA133" s="275"/>
      <c r="CB133" s="276"/>
      <c r="CC133" s="277"/>
    </row>
    <row r="134" s="27" customFormat="1" customHeight="1" spans="10:81">
      <c r="J134" s="261"/>
      <c r="K134" s="42"/>
      <c r="L134" s="42"/>
      <c r="M134" s="42"/>
      <c r="N134" s="42"/>
      <c r="O134" s="42"/>
      <c r="P134" s="42"/>
      <c r="Q134" s="42"/>
      <c r="R134" s="42"/>
      <c r="S134" s="42"/>
      <c r="U134" s="495"/>
      <c r="V134" s="490"/>
      <c r="AY134" s="600"/>
      <c r="AZ134" s="600"/>
      <c r="BA134" s="600"/>
      <c r="BB134" s="600"/>
      <c r="BC134" s="600"/>
      <c r="BD134" s="600"/>
      <c r="BE134"/>
      <c r="BF134" s="528"/>
      <c r="BG134" s="528"/>
      <c r="BH134" s="528"/>
      <c r="BI134" s="528"/>
      <c r="BJ134" s="528"/>
      <c r="BK134" s="528"/>
      <c r="BL134" s="528"/>
      <c r="BM134" s="528"/>
      <c r="BN134" s="528"/>
      <c r="BO134" s="528"/>
      <c r="BP134" s="528"/>
      <c r="BQ134" s="528"/>
      <c r="BR134" s="528"/>
      <c r="BS134" s="528"/>
      <c r="BT134" s="528"/>
      <c r="BU134" s="528"/>
      <c r="BV134" s="528"/>
      <c r="BW134" s="528"/>
      <c r="BX134" s="528"/>
      <c r="BY134" s="528"/>
      <c r="BZ134" s="592"/>
      <c r="CA134" s="275"/>
      <c r="CB134" s="276"/>
      <c r="CC134" s="277"/>
    </row>
    <row r="135" s="27" customFormat="1" customHeight="1" spans="10:81">
      <c r="J135" s="261"/>
      <c r="K135" s="42"/>
      <c r="L135" s="42"/>
      <c r="M135" s="42"/>
      <c r="N135" s="42"/>
      <c r="O135" s="42"/>
      <c r="P135" s="42"/>
      <c r="Q135" s="42"/>
      <c r="R135" s="42"/>
      <c r="S135" s="42"/>
      <c r="U135" s="495"/>
      <c r="V135" s="490"/>
      <c r="AY135" s="600"/>
      <c r="AZ135" s="600"/>
      <c r="BA135" s="600"/>
      <c r="BB135" s="600"/>
      <c r="BC135" s="600"/>
      <c r="BD135" s="600"/>
      <c r="BE135"/>
      <c r="BF135" s="612" t="s">
        <v>317</v>
      </c>
      <c r="BG135" s="613" t="s">
        <v>318</v>
      </c>
      <c r="BH135" s="613"/>
      <c r="BI135" s="613"/>
      <c r="BJ135" s="613"/>
      <c r="BK135" s="613"/>
      <c r="BL135" s="613"/>
      <c r="BM135" s="613"/>
      <c r="BN135" s="613"/>
      <c r="BO135" s="613"/>
      <c r="BP135" s="613"/>
      <c r="BQ135" s="613"/>
      <c r="BR135" s="613"/>
      <c r="BS135" s="613"/>
      <c r="BT135" s="613"/>
      <c r="BU135" s="613"/>
      <c r="BV135" s="613"/>
      <c r="BW135" s="613"/>
      <c r="BX135" s="613"/>
      <c r="BY135" s="613"/>
      <c r="BZ135" s="592"/>
      <c r="CA135" s="275"/>
      <c r="CB135" s="276"/>
      <c r="CC135" s="277"/>
    </row>
    <row r="136" s="27" customFormat="1" customHeight="1" spans="10:81">
      <c r="J136" s="261"/>
      <c r="K136" s="42"/>
      <c r="L136" s="42"/>
      <c r="M136" s="42"/>
      <c r="N136" s="42"/>
      <c r="O136" s="42"/>
      <c r="P136" s="42"/>
      <c r="Q136" s="42"/>
      <c r="R136" s="42"/>
      <c r="S136" s="42"/>
      <c r="U136" s="495"/>
      <c r="V136" s="490"/>
      <c r="AY136" s="600"/>
      <c r="AZ136" s="600"/>
      <c r="BA136" s="600"/>
      <c r="BB136" s="600"/>
      <c r="BC136" s="600"/>
      <c r="BD136" s="600"/>
      <c r="BE136"/>
      <c r="BF136" s="614"/>
      <c r="BG136" s="531"/>
      <c r="BH136" s="531"/>
      <c r="BI136" s="531"/>
      <c r="BJ136" s="531"/>
      <c r="BK136" s="531"/>
      <c r="BL136" s="531"/>
      <c r="BM136" s="531"/>
      <c r="BN136" s="531"/>
      <c r="BO136" s="531"/>
      <c r="BP136" s="531"/>
      <c r="BQ136" s="531"/>
      <c r="BR136" s="531"/>
      <c r="BS136" s="531"/>
      <c r="BT136" s="531"/>
      <c r="BU136" s="531"/>
      <c r="BV136" s="531"/>
      <c r="BW136" s="531"/>
      <c r="BX136" s="531"/>
      <c r="BY136" s="531"/>
      <c r="BZ136" s="592"/>
      <c r="CA136" s="275"/>
      <c r="CB136" s="276"/>
      <c r="CC136" s="277"/>
    </row>
    <row r="137" s="27" customFormat="1" customHeight="1" spans="10:81">
      <c r="J137" s="261"/>
      <c r="K137" s="42"/>
      <c r="L137" s="42"/>
      <c r="M137" s="42"/>
      <c r="N137" s="42"/>
      <c r="O137" s="42"/>
      <c r="P137" s="42"/>
      <c r="Q137" s="42"/>
      <c r="R137" s="42"/>
      <c r="S137" s="42"/>
      <c r="U137" s="495"/>
      <c r="V137" s="490"/>
      <c r="AY137" s="600"/>
      <c r="AZ137" s="600"/>
      <c r="BA137" s="600"/>
      <c r="BB137" s="600"/>
      <c r="BC137" s="600"/>
      <c r="BD137" s="600"/>
      <c r="BE137"/>
      <c r="BF137" s="614"/>
      <c r="BG137" s="531" t="s">
        <v>319</v>
      </c>
      <c r="BH137" s="531"/>
      <c r="BI137" s="531"/>
      <c r="BJ137" s="531"/>
      <c r="BK137" s="531"/>
      <c r="BL137" s="531"/>
      <c r="BM137" s="531"/>
      <c r="BN137" s="531"/>
      <c r="BO137" s="531"/>
      <c r="BP137" s="531"/>
      <c r="BQ137" s="531"/>
      <c r="BR137" s="531"/>
      <c r="BS137" s="531"/>
      <c r="BT137" s="531"/>
      <c r="BU137" s="531"/>
      <c r="BV137" s="531"/>
      <c r="BW137" s="531"/>
      <c r="BX137" s="531"/>
      <c r="BY137" s="531"/>
      <c r="BZ137" s="592"/>
      <c r="CA137" s="275"/>
      <c r="CB137" s="276"/>
      <c r="CC137" s="277"/>
    </row>
    <row r="138" s="27" customFormat="1" customHeight="1" spans="10:81">
      <c r="J138" s="261"/>
      <c r="K138" s="42"/>
      <c r="L138" s="42"/>
      <c r="M138" s="42"/>
      <c r="N138" s="42"/>
      <c r="O138" s="42"/>
      <c r="P138" s="42"/>
      <c r="Q138" s="42"/>
      <c r="R138" s="42"/>
      <c r="S138" s="42"/>
      <c r="U138" s="495"/>
      <c r="V138" s="490"/>
      <c r="AY138" s="600"/>
      <c r="AZ138" s="600"/>
      <c r="BA138" s="600"/>
      <c r="BB138" s="600"/>
      <c r="BC138" s="600"/>
      <c r="BD138" s="600"/>
      <c r="BE138"/>
      <c r="BF138" s="614"/>
      <c r="BG138" s="531"/>
      <c r="BH138" s="531"/>
      <c r="BI138" s="531"/>
      <c r="BJ138" s="531"/>
      <c r="BK138" s="531"/>
      <c r="BL138" s="531"/>
      <c r="BM138" s="531"/>
      <c r="BN138" s="531"/>
      <c r="BO138" s="531"/>
      <c r="BP138" s="531"/>
      <c r="BQ138" s="531"/>
      <c r="BR138" s="531"/>
      <c r="BS138" s="531"/>
      <c r="BT138" s="531"/>
      <c r="BU138" s="531"/>
      <c r="BV138" s="531"/>
      <c r="BW138" s="531"/>
      <c r="BX138" s="531"/>
      <c r="BY138" s="531"/>
      <c r="BZ138" s="592"/>
      <c r="CA138" s="275"/>
      <c r="CB138" s="276"/>
      <c r="CC138" s="277"/>
    </row>
    <row r="139" s="27" customFormat="1" customHeight="1" spans="10:81">
      <c r="J139" s="261"/>
      <c r="K139" s="42"/>
      <c r="L139" s="42"/>
      <c r="M139" s="42"/>
      <c r="N139" s="42"/>
      <c r="O139" s="42"/>
      <c r="P139" s="42"/>
      <c r="Q139" s="42"/>
      <c r="R139" s="42"/>
      <c r="S139" s="42"/>
      <c r="U139" s="495"/>
      <c r="V139" s="490"/>
      <c r="AY139" s="600"/>
      <c r="AZ139" s="600"/>
      <c r="BA139" s="600"/>
      <c r="BB139" s="600"/>
      <c r="BC139" s="600"/>
      <c r="BD139" s="600"/>
      <c r="BE139"/>
      <c r="BF139" s="614"/>
      <c r="BG139" s="531"/>
      <c r="BH139" s="531"/>
      <c r="BI139" s="531"/>
      <c r="BJ139" s="531"/>
      <c r="BK139" s="531"/>
      <c r="BL139" s="531"/>
      <c r="BM139" s="531"/>
      <c r="BN139" s="531"/>
      <c r="BO139" s="531"/>
      <c r="BP139" s="531"/>
      <c r="BQ139" s="531"/>
      <c r="BR139" s="531"/>
      <c r="BS139" s="531"/>
      <c r="BT139" s="531"/>
      <c r="BU139" s="531"/>
      <c r="BV139" s="531"/>
      <c r="BW139" s="531"/>
      <c r="BX139" s="531"/>
      <c r="BY139" s="531"/>
      <c r="BZ139" s="592"/>
      <c r="CA139" s="275"/>
      <c r="CB139" s="276"/>
      <c r="CC139" s="277"/>
    </row>
    <row r="140" s="27" customFormat="1" customHeight="1" spans="10:81">
      <c r="J140" s="261"/>
      <c r="K140" s="42"/>
      <c r="L140" s="42"/>
      <c r="M140" s="42"/>
      <c r="N140" s="42"/>
      <c r="O140" s="42"/>
      <c r="P140" s="42"/>
      <c r="Q140" s="42"/>
      <c r="R140" s="42"/>
      <c r="S140" s="42"/>
      <c r="U140" s="495"/>
      <c r="V140" s="490"/>
      <c r="AY140" s="600"/>
      <c r="AZ140" s="600"/>
      <c r="BA140" s="600"/>
      <c r="BB140" s="600"/>
      <c r="BC140" s="600"/>
      <c r="BD140" s="600"/>
      <c r="BE140"/>
      <c r="BF140" s="614"/>
      <c r="BG140" s="531"/>
      <c r="BH140" s="531"/>
      <c r="BI140" s="531"/>
      <c r="BJ140" s="531"/>
      <c r="BK140" s="531"/>
      <c r="BL140" s="531"/>
      <c r="BM140" s="531"/>
      <c r="BN140" s="531"/>
      <c r="BO140" s="531"/>
      <c r="BP140" s="531"/>
      <c r="BQ140" s="531"/>
      <c r="BR140" s="531"/>
      <c r="BS140" s="531"/>
      <c r="BT140" s="531"/>
      <c r="BU140" s="531"/>
      <c r="BV140" s="531"/>
      <c r="BW140" s="531"/>
      <c r="BX140" s="531"/>
      <c r="BY140" s="531"/>
      <c r="BZ140" s="592"/>
      <c r="CA140" s="275"/>
      <c r="CB140" s="276"/>
      <c r="CC140" s="277"/>
    </row>
    <row r="141" s="27" customFormat="1" customHeight="1" spans="10:81">
      <c r="J141" s="261"/>
      <c r="K141" s="42"/>
      <c r="L141" s="42"/>
      <c r="M141" s="42"/>
      <c r="N141" s="42"/>
      <c r="O141" s="42"/>
      <c r="P141" s="42"/>
      <c r="Q141" s="42"/>
      <c r="R141" s="42"/>
      <c r="S141" s="42"/>
      <c r="U141" s="615"/>
      <c r="V141" s="490"/>
      <c r="AY141" s="600"/>
      <c r="AZ141" s="600"/>
      <c r="BA141" s="600"/>
      <c r="BB141" s="600"/>
      <c r="BC141" s="600"/>
      <c r="BD141" s="600"/>
      <c r="BE141"/>
      <c r="BF141" s="614"/>
      <c r="BG141" s="531"/>
      <c r="BH141" s="531"/>
      <c r="BI141" s="531"/>
      <c r="BJ141" s="531"/>
      <c r="BK141" s="531"/>
      <c r="BL141" s="531"/>
      <c r="BM141" s="531"/>
      <c r="BN141" s="531"/>
      <c r="BO141" s="531"/>
      <c r="BP141" s="531"/>
      <c r="BQ141" s="531"/>
      <c r="BR141" s="531"/>
      <c r="BS141" s="531"/>
      <c r="BT141" s="531"/>
      <c r="BU141" s="531"/>
      <c r="BV141" s="531"/>
      <c r="BW141" s="531"/>
      <c r="BX141" s="531"/>
      <c r="BY141" s="531"/>
      <c r="BZ141" s="592"/>
      <c r="CA141" s="275"/>
      <c r="CB141" s="276"/>
      <c r="CC141" s="277"/>
    </row>
    <row r="142" s="27" customFormat="1" customHeight="1" spans="10:81">
      <c r="J142" s="261"/>
      <c r="K142" s="42"/>
      <c r="L142" s="42"/>
      <c r="M142" s="42"/>
      <c r="N142" s="42"/>
      <c r="O142" s="42"/>
      <c r="P142" s="42"/>
      <c r="Q142" s="42"/>
      <c r="R142" s="42"/>
      <c r="S142" s="42"/>
      <c r="U142" s="615"/>
      <c r="V142" s="490"/>
      <c r="AY142" s="600"/>
      <c r="AZ142" s="600"/>
      <c r="BA142" s="600"/>
      <c r="BB142" s="600"/>
      <c r="BC142" s="600"/>
      <c r="BD142" s="600"/>
      <c r="BE142"/>
      <c r="BF142" s="614"/>
      <c r="BG142" s="531"/>
      <c r="BH142" s="531"/>
      <c r="BI142" s="531"/>
      <c r="BJ142" s="531"/>
      <c r="BK142" s="531"/>
      <c r="BL142" s="531"/>
      <c r="BM142" s="531"/>
      <c r="BN142" s="531"/>
      <c r="BO142" s="531"/>
      <c r="BP142" s="531"/>
      <c r="BQ142" s="531"/>
      <c r="BR142" s="531"/>
      <c r="BS142" s="531"/>
      <c r="BT142" s="531"/>
      <c r="BU142" s="531"/>
      <c r="BV142" s="531"/>
      <c r="BW142" s="531"/>
      <c r="BX142" s="531"/>
      <c r="BY142" s="531"/>
      <c r="BZ142" s="592"/>
      <c r="CA142" s="275"/>
      <c r="CB142" s="276"/>
      <c r="CC142" s="277"/>
    </row>
    <row r="143" s="27" customFormat="1" customHeight="1" spans="10:81">
      <c r="J143" s="261"/>
      <c r="K143" s="42"/>
      <c r="L143" s="42"/>
      <c r="M143" s="42"/>
      <c r="N143" s="42"/>
      <c r="O143" s="42"/>
      <c r="P143" s="42"/>
      <c r="Q143" s="42"/>
      <c r="R143" s="42"/>
      <c r="S143" s="42"/>
      <c r="U143" s="615"/>
      <c r="V143" s="490"/>
      <c r="AY143" s="600"/>
      <c r="AZ143" s="600"/>
      <c r="BA143" s="600"/>
      <c r="BB143" s="600"/>
      <c r="BC143" s="600"/>
      <c r="BD143" s="600"/>
      <c r="BE143"/>
      <c r="BF143" s="614"/>
      <c r="BG143" s="531"/>
      <c r="BH143" s="531"/>
      <c r="BI143" s="531"/>
      <c r="BJ143" s="531"/>
      <c r="BK143" s="531"/>
      <c r="BL143" s="531"/>
      <c r="BM143" s="531"/>
      <c r="BN143" s="531"/>
      <c r="BO143" s="531"/>
      <c r="BP143" s="531"/>
      <c r="BQ143" s="531"/>
      <c r="BR143" s="531"/>
      <c r="BS143" s="531"/>
      <c r="BT143" s="531"/>
      <c r="BU143" s="531"/>
      <c r="BV143" s="531"/>
      <c r="BW143" s="531"/>
      <c r="BX143" s="531"/>
      <c r="BY143" s="531"/>
      <c r="BZ143" s="592"/>
      <c r="CA143" s="275"/>
      <c r="CB143" s="276"/>
      <c r="CC143" s="277"/>
    </row>
    <row r="144" s="27" customFormat="1" customHeight="1" spans="10:81">
      <c r="J144" s="261"/>
      <c r="K144" s="42"/>
      <c r="L144" s="42"/>
      <c r="M144" s="42"/>
      <c r="N144" s="42"/>
      <c r="O144" s="42"/>
      <c r="P144" s="42"/>
      <c r="Q144" s="42"/>
      <c r="R144" s="42"/>
      <c r="S144" s="42"/>
      <c r="U144" s="615"/>
      <c r="V144" s="490"/>
      <c r="AY144" s="600"/>
      <c r="AZ144" s="600"/>
      <c r="BA144" s="600"/>
      <c r="BB144" s="600"/>
      <c r="BC144" s="600"/>
      <c r="BD144" s="600"/>
      <c r="BE144"/>
      <c r="BF144" s="614"/>
      <c r="BG144" s="531"/>
      <c r="BH144" s="531"/>
      <c r="BI144" s="531"/>
      <c r="BJ144" s="531"/>
      <c r="BK144" s="531"/>
      <c r="BL144" s="531"/>
      <c r="BM144" s="531"/>
      <c r="BN144" s="531"/>
      <c r="BO144" s="531"/>
      <c r="BP144" s="531"/>
      <c r="BQ144" s="531"/>
      <c r="BR144" s="531"/>
      <c r="BS144" s="531"/>
      <c r="BT144" s="531"/>
      <c r="BU144" s="531"/>
      <c r="BV144" s="531"/>
      <c r="BW144" s="531"/>
      <c r="BX144" s="531"/>
      <c r="BY144" s="531"/>
      <c r="BZ144" s="531"/>
      <c r="CA144" s="275"/>
      <c r="CB144" s="276"/>
      <c r="CC144" s="277"/>
    </row>
    <row r="145" s="27" customFormat="1" customHeight="1" spans="10:98">
      <c r="J145" s="261"/>
      <c r="K145" s="42"/>
      <c r="L145" s="42"/>
      <c r="M145" s="42"/>
      <c r="N145" s="42"/>
      <c r="O145" s="42"/>
      <c r="P145" s="42"/>
      <c r="Q145" s="42"/>
      <c r="R145" s="42"/>
      <c r="S145" s="42"/>
      <c r="U145" s="615"/>
      <c r="V145" s="490"/>
      <c r="AY145" s="600"/>
      <c r="AZ145" s="600"/>
      <c r="BA145" s="600"/>
      <c r="BB145" s="600"/>
      <c r="BC145" s="600"/>
      <c r="BD145" s="600"/>
      <c r="BE145"/>
      <c r="BF145" s="614"/>
      <c r="BG145" s="531"/>
      <c r="BH145" s="531"/>
      <c r="BI145" s="531"/>
      <c r="BJ145" s="531"/>
      <c r="BK145" s="531"/>
      <c r="BL145" s="531"/>
      <c r="BM145" s="531"/>
      <c r="BN145" s="531"/>
      <c r="BO145" s="531"/>
      <c r="BP145" s="531"/>
      <c r="BQ145" s="531"/>
      <c r="BR145" s="531"/>
      <c r="BS145" s="531"/>
      <c r="BT145" s="531"/>
      <c r="BU145" s="531"/>
      <c r="BV145" s="531"/>
      <c r="BW145" s="531"/>
      <c r="BX145" s="531"/>
      <c r="BY145" s="531"/>
      <c r="BZ145" s="531"/>
      <c r="CA145" s="275"/>
      <c r="CB145" s="276"/>
      <c r="CC145" s="277"/>
    </row>
    <row r="146" s="27" customFormat="1" customHeight="1" spans="10:98">
      <c r="J146" s="261"/>
      <c r="K146" s="42"/>
      <c r="L146" s="42"/>
      <c r="M146" s="42"/>
      <c r="N146" s="42"/>
      <c r="O146" s="42"/>
      <c r="P146" s="42"/>
      <c r="Q146" s="42"/>
      <c r="R146" s="42"/>
      <c r="S146" s="42"/>
      <c r="U146" s="615"/>
      <c r="V146" s="490"/>
      <c r="AY146" s="600"/>
      <c r="AZ146" s="600"/>
      <c r="BA146" s="600"/>
      <c r="BB146" s="600"/>
      <c r="BC146" s="600"/>
      <c r="BD146" s="600"/>
      <c r="BE146"/>
      <c r="BF146" s="614"/>
      <c r="BG146" s="531"/>
      <c r="BH146" s="531"/>
      <c r="BI146" s="531"/>
      <c r="BJ146" s="531"/>
      <c r="BK146" s="531"/>
      <c r="BL146" s="531"/>
      <c r="BM146" s="531"/>
      <c r="BN146" s="531"/>
      <c r="BO146" s="531"/>
      <c r="BP146" s="531"/>
      <c r="BQ146" s="531"/>
      <c r="BR146" s="531"/>
      <c r="BS146" s="531"/>
      <c r="BT146" s="531"/>
      <c r="BU146" s="531"/>
      <c r="BV146" s="531"/>
      <c r="BW146" s="531"/>
      <c r="BX146" s="531"/>
      <c r="BY146" s="531"/>
      <c r="BZ146" s="531"/>
      <c r="CA146" s="275"/>
      <c r="CB146" s="276"/>
      <c r="CC146" s="277"/>
    </row>
    <row r="147" s="27" customFormat="1" customHeight="1" spans="10:98">
      <c r="J147" s="261"/>
      <c r="K147" s="42"/>
      <c r="L147" s="42"/>
      <c r="M147" s="42"/>
      <c r="N147" s="42"/>
      <c r="O147" s="42"/>
      <c r="P147" s="42"/>
      <c r="Q147" s="42"/>
      <c r="R147" s="42"/>
      <c r="S147" s="42"/>
      <c r="U147" s="615"/>
      <c r="AY147" s="600"/>
      <c r="AZ147" s="600"/>
      <c r="BA147" s="600"/>
      <c r="BB147" s="600"/>
      <c r="BC147" s="600"/>
      <c r="BD147" s="600"/>
      <c r="BE147"/>
      <c r="BF147" s="614"/>
      <c r="BG147" s="531"/>
      <c r="BH147" s="531"/>
      <c r="BI147" s="531"/>
      <c r="BJ147" s="531"/>
      <c r="BK147" s="531"/>
      <c r="BL147" s="531"/>
      <c r="BM147" s="531"/>
      <c r="BN147" s="531"/>
      <c r="BO147" s="531"/>
      <c r="BP147" s="531"/>
      <c r="BQ147" s="531"/>
      <c r="BR147" s="531"/>
      <c r="BS147" s="531"/>
      <c r="BT147" s="531"/>
      <c r="BU147" s="531"/>
      <c r="BV147" s="531"/>
      <c r="BW147" s="531"/>
      <c r="BX147" s="531"/>
      <c r="BY147" s="531"/>
      <c r="BZ147" s="531"/>
      <c r="CA147" s="275"/>
      <c r="CB147" s="276"/>
      <c r="CC147" s="277"/>
    </row>
    <row r="148" s="27" customFormat="1" customHeight="1" spans="10:98">
      <c r="J148" s="261"/>
      <c r="K148" s="42"/>
      <c r="L148" s="42"/>
      <c r="M148" s="42"/>
      <c r="N148" s="42"/>
      <c r="O148" s="42"/>
      <c r="P148" s="42"/>
      <c r="Q148" s="42"/>
      <c r="R148" s="42"/>
      <c r="S148" s="42"/>
      <c r="AY148" s="600"/>
      <c r="AZ148" s="600"/>
      <c r="BA148" s="600"/>
      <c r="BB148" s="600"/>
      <c r="BC148" s="600"/>
      <c r="BD148" s="600"/>
      <c r="BE148"/>
      <c r="BF148" s="614"/>
      <c r="BG148" s="531"/>
      <c r="BH148" s="531"/>
      <c r="BI148" s="531"/>
      <c r="BJ148" s="531"/>
      <c r="BK148" s="531"/>
      <c r="BL148" s="531"/>
      <c r="BM148" s="531"/>
      <c r="BN148" s="531"/>
      <c r="BO148" s="531"/>
      <c r="BP148" s="531"/>
      <c r="BQ148" s="531"/>
      <c r="BR148" s="531"/>
      <c r="BS148" s="531"/>
      <c r="BT148" s="531"/>
      <c r="BU148" s="531"/>
      <c r="BV148" s="531"/>
      <c r="BW148" s="531"/>
      <c r="BX148" s="531"/>
      <c r="BY148" s="531"/>
      <c r="BZ148" s="531"/>
      <c r="CA148" s="275"/>
      <c r="CB148" s="276"/>
      <c r="CC148" s="277"/>
    </row>
    <row r="149" s="27" customFormat="1" customHeight="1" spans="10:98">
      <c r="J149" s="261"/>
      <c r="K149" s="42"/>
      <c r="L149" s="42"/>
      <c r="M149" s="42"/>
      <c r="N149" s="42"/>
      <c r="O149" s="42"/>
      <c r="P149" s="42"/>
      <c r="Q149" s="42"/>
      <c r="R149" s="42"/>
      <c r="S149" s="42"/>
      <c r="AY149" s="600"/>
      <c r="AZ149" s="600"/>
      <c r="BA149" s="600"/>
      <c r="BB149" s="600"/>
      <c r="BC149" s="600"/>
      <c r="BD149" s="600"/>
      <c r="BE149"/>
      <c r="BF149" s="614"/>
      <c r="BG149" s="531"/>
      <c r="BH149" s="531"/>
      <c r="BI149" s="531"/>
      <c r="BJ149" s="531"/>
      <c r="BK149" s="531"/>
      <c r="BL149" s="531"/>
      <c r="BM149" s="531"/>
      <c r="BN149" s="531"/>
      <c r="BO149" s="531"/>
      <c r="BP149" s="531"/>
      <c r="BQ149" s="531"/>
      <c r="BR149" s="531"/>
      <c r="BS149" s="531"/>
      <c r="BT149" s="531"/>
      <c r="BU149" s="531"/>
      <c r="BV149" s="531"/>
      <c r="BW149" s="531"/>
      <c r="BX149" s="531"/>
      <c r="BY149" s="531"/>
      <c r="BZ149" s="531"/>
      <c r="CA149" s="275"/>
      <c r="CB149" s="276"/>
      <c r="CC149" s="277"/>
    </row>
    <row r="150" s="27" customFormat="1" customHeight="1" spans="10:98">
      <c r="J150" s="261"/>
      <c r="K150" s="42"/>
      <c r="L150" s="42"/>
      <c r="M150" s="42"/>
      <c r="N150" s="42"/>
      <c r="O150" s="42"/>
      <c r="P150" s="42"/>
      <c r="Q150" s="42"/>
      <c r="R150" s="42"/>
      <c r="S150" s="42"/>
      <c r="AY150" s="600"/>
      <c r="AZ150" s="600"/>
      <c r="BA150" s="600"/>
      <c r="BB150" s="600"/>
      <c r="BC150" s="600"/>
      <c r="BD150" s="600"/>
      <c r="BE150"/>
      <c r="BF150" s="614"/>
      <c r="BG150" s="531"/>
      <c r="BH150" s="531"/>
      <c r="BI150" s="531"/>
      <c r="BJ150" s="531"/>
      <c r="BK150" s="531"/>
      <c r="BL150" s="531"/>
      <c r="BM150" s="531"/>
      <c r="BN150" s="531"/>
      <c r="BO150" s="531"/>
      <c r="BP150" s="531"/>
      <c r="BQ150" s="531"/>
      <c r="BR150" s="531"/>
      <c r="BS150" s="531"/>
      <c r="BT150" s="531"/>
      <c r="BU150" s="531"/>
      <c r="BV150" s="531"/>
      <c r="BW150" s="531"/>
      <c r="BX150" s="531"/>
      <c r="BY150" s="531"/>
      <c r="BZ150" s="531"/>
      <c r="CA150" s="275"/>
      <c r="CB150" s="276"/>
      <c r="CC150" s="277"/>
    </row>
    <row r="151" s="27" customFormat="1" customHeight="1" spans="10:98">
      <c r="J151" s="261"/>
      <c r="K151" s="42"/>
      <c r="L151" s="42"/>
      <c r="M151" s="42"/>
      <c r="N151" s="42"/>
      <c r="O151" s="42"/>
      <c r="P151" s="42"/>
      <c r="Q151" s="42"/>
      <c r="R151" s="42"/>
      <c r="S151" s="42"/>
      <c r="AY151" s="600"/>
      <c r="AZ151" s="600"/>
      <c r="BA151" s="600"/>
      <c r="BB151" s="600"/>
      <c r="BC151" s="600"/>
      <c r="BD151" s="600"/>
      <c r="BE151"/>
      <c r="BF151" s="616"/>
      <c r="BG151" s="617"/>
      <c r="BH151" s="617"/>
      <c r="BI151" s="617"/>
      <c r="BJ151" s="617"/>
      <c r="BK151" s="617"/>
      <c r="BL151" s="617"/>
      <c r="BM151" s="617"/>
      <c r="BN151" s="617"/>
      <c r="BO151" s="617"/>
      <c r="BP151" s="617"/>
      <c r="BQ151" s="617"/>
      <c r="BR151" s="617"/>
      <c r="BS151" s="617"/>
      <c r="BT151" s="617"/>
      <c r="BU151" s="617"/>
      <c r="BV151" s="617"/>
      <c r="BW151" s="617"/>
      <c r="BX151" s="617"/>
      <c r="BY151" s="617"/>
      <c r="BZ151" s="531"/>
      <c r="CA151" s="275"/>
      <c r="CB151" s="276"/>
      <c r="CC151" s="277"/>
    </row>
    <row r="152" s="27" customFormat="1" customHeight="1" spans="10:98">
      <c r="J152" s="261"/>
      <c r="K152" s="42"/>
      <c r="L152" s="42"/>
      <c r="M152" s="42"/>
      <c r="N152" s="42"/>
      <c r="O152" s="42"/>
      <c r="P152" s="42"/>
      <c r="Q152" s="42"/>
      <c r="R152" s="42"/>
      <c r="S152" s="42"/>
      <c r="AY152" s="600"/>
      <c r="AZ152" s="600"/>
      <c r="BA152" s="600"/>
      <c r="BB152" s="600"/>
      <c r="BC152" s="600"/>
      <c r="BD152" s="600"/>
      <c r="BE152"/>
      <c r="BF152" s="614" t="s">
        <v>320</v>
      </c>
      <c r="BG152" s="592" t="s">
        <v>321</v>
      </c>
      <c r="BH152" s="592"/>
      <c r="BI152" s="592"/>
      <c r="BJ152" s="592"/>
      <c r="BK152" s="592"/>
      <c r="BL152" s="592"/>
      <c r="BM152" s="592"/>
      <c r="BN152" s="592"/>
      <c r="BO152" s="592"/>
      <c r="BP152" s="592"/>
      <c r="BQ152" s="592"/>
      <c r="BR152" s="592"/>
      <c r="BS152" s="592"/>
      <c r="BT152" s="592"/>
      <c r="BU152" s="592"/>
      <c r="BV152" s="592"/>
      <c r="BW152" s="592"/>
      <c r="BX152" s="592"/>
      <c r="BY152" s="592"/>
      <c r="BZ152" s="531"/>
      <c r="CA152" s="275"/>
      <c r="CB152" s="276"/>
      <c r="CC152" s="277"/>
    </row>
    <row r="153" s="27" customFormat="1" customHeight="1" spans="10:98">
      <c r="J153" s="261"/>
      <c r="AY153" s="600"/>
      <c r="AZ153" s="600"/>
      <c r="BA153" s="600"/>
      <c r="BB153" s="600"/>
      <c r="BC153" s="600"/>
      <c r="BD153" s="600"/>
      <c r="BE153"/>
      <c r="BF153" s="614"/>
      <c r="BG153" s="592"/>
      <c r="BH153" s="592"/>
      <c r="BI153" s="592"/>
      <c r="BJ153" s="592"/>
      <c r="BK153" s="592"/>
      <c r="BL153" s="592"/>
      <c r="BM153" s="592"/>
      <c r="BN153" s="592"/>
      <c r="BO153" s="592"/>
      <c r="BP153" s="592"/>
      <c r="BQ153" s="592"/>
      <c r="BR153" s="592"/>
      <c r="BS153" s="592"/>
      <c r="BT153" s="592"/>
      <c r="BU153" s="592"/>
      <c r="BV153" s="592"/>
      <c r="BW153" s="592"/>
      <c r="BX153" s="592"/>
      <c r="BY153" s="592"/>
      <c r="BZ153" s="531"/>
      <c r="CA153" s="275"/>
      <c r="CB153" s="276"/>
      <c r="CC153" s="277"/>
    </row>
    <row r="154" s="27" customFormat="1" customHeight="1" spans="10:98">
      <c r="J154" s="261"/>
      <c r="AY154" s="600"/>
      <c r="AZ154" s="600"/>
      <c r="BA154" s="600"/>
      <c r="BB154" s="600"/>
      <c r="BC154" s="600"/>
      <c r="BD154" s="600"/>
      <c r="BE154"/>
      <c r="BF154" s="614"/>
      <c r="BG154" s="592"/>
      <c r="BH154" s="592"/>
      <c r="BI154" s="592"/>
      <c r="BJ154" s="592"/>
      <c r="BK154" s="592"/>
      <c r="BL154" s="592"/>
      <c r="BM154" s="592"/>
      <c r="BN154" s="592"/>
      <c r="BO154" s="592"/>
      <c r="BP154" s="592"/>
      <c r="BQ154" s="592"/>
      <c r="BR154" s="592"/>
      <c r="BS154" s="592"/>
      <c r="BT154" s="592"/>
      <c r="BU154" s="592"/>
      <c r="BV154" s="592"/>
      <c r="BW154" s="592"/>
      <c r="BX154" s="592"/>
      <c r="BY154" s="592"/>
      <c r="BZ154" s="531"/>
      <c r="CA154" s="275"/>
      <c r="CB154" s="276"/>
      <c r="CC154" s="277"/>
    </row>
    <row r="155" s="27" customFormat="1" customHeight="1" spans="10:98">
      <c r="J155" s="261"/>
      <c r="AY155" s="600"/>
      <c r="AZ155" s="600"/>
      <c r="BA155" s="600"/>
      <c r="BB155" s="600"/>
      <c r="BC155" s="600"/>
      <c r="BD155" s="600"/>
      <c r="BE155"/>
      <c r="BF155" s="614"/>
      <c r="BG155" s="592"/>
      <c r="BH155" s="592"/>
      <c r="BI155" s="592"/>
      <c r="BJ155" s="592"/>
      <c r="BK155" s="592"/>
      <c r="BL155" s="592"/>
      <c r="BM155" s="592"/>
      <c r="BN155" s="592"/>
      <c r="BO155" s="592"/>
      <c r="BP155" s="592"/>
      <c r="BQ155" s="592"/>
      <c r="BR155" s="592"/>
      <c r="BS155" s="592"/>
      <c r="BT155" s="592"/>
      <c r="BU155" s="592"/>
      <c r="BV155" s="592"/>
      <c r="BW155" s="592"/>
      <c r="BX155" s="592"/>
      <c r="BY155" s="592"/>
      <c r="BZ155" s="531"/>
      <c r="CA155" s="275"/>
      <c r="CB155" s="276"/>
      <c r="CC155" s="277"/>
    </row>
    <row r="156" s="27" customFormat="1" customHeight="1" spans="10:98">
      <c r="J156" s="261"/>
      <c r="AY156" s="600"/>
      <c r="AZ156" s="600"/>
      <c r="BA156" s="600"/>
      <c r="BB156" s="600"/>
      <c r="BC156" s="600"/>
      <c r="BD156" s="600"/>
      <c r="BE156"/>
      <c r="BF156" s="614"/>
      <c r="BG156" s="592"/>
      <c r="BH156" s="592"/>
      <c r="BI156" s="592"/>
      <c r="BJ156" s="592"/>
      <c r="BK156" s="592"/>
      <c r="BL156" s="592"/>
      <c r="BM156" s="592"/>
      <c r="BN156" s="592"/>
      <c r="BO156" s="592"/>
      <c r="BP156" s="592"/>
      <c r="BQ156" s="592"/>
      <c r="BR156" s="592"/>
      <c r="BS156" s="592"/>
      <c r="BT156" s="592"/>
      <c r="BU156" s="592"/>
      <c r="BV156" s="592"/>
      <c r="BW156" s="592"/>
      <c r="BX156" s="592"/>
      <c r="BY156" s="592"/>
      <c r="BZ156" s="531"/>
      <c r="CA156" s="275"/>
      <c r="CB156" s="276"/>
      <c r="CC156" s="277"/>
    </row>
    <row r="157" s="27" customFormat="1" customHeight="1" spans="10:98">
      <c r="J157" s="261"/>
      <c r="AY157" s="600"/>
      <c r="AZ157" s="600"/>
      <c r="BA157" s="600"/>
      <c r="BB157" s="600"/>
      <c r="BC157" s="600"/>
      <c r="BD157" s="600"/>
      <c r="BE157"/>
      <c r="BF157" s="614"/>
      <c r="BG157" s="592"/>
      <c r="BH157" s="592"/>
      <c r="BI157" s="592"/>
      <c r="BJ157" s="592"/>
      <c r="BK157" s="592"/>
      <c r="BL157" s="592"/>
      <c r="BM157" s="592"/>
      <c r="BN157" s="592"/>
      <c r="BO157" s="592"/>
      <c r="BP157" s="592"/>
      <c r="BQ157" s="592"/>
      <c r="BR157" s="592"/>
      <c r="BS157" s="592"/>
      <c r="BT157" s="592"/>
      <c r="BU157" s="592"/>
      <c r="BV157" s="592"/>
      <c r="BW157" s="592"/>
      <c r="BX157" s="592"/>
      <c r="BY157" s="592"/>
      <c r="BZ157" s="531"/>
      <c r="CA157" s="275"/>
      <c r="CB157" s="276"/>
      <c r="CC157" s="277"/>
      <c r="CD157" s="11"/>
      <c r="CE157" s="11"/>
      <c r="CF157" s="11"/>
      <c r="CG157" s="11"/>
      <c r="CH157" s="11"/>
      <c r="CI157" s="11"/>
      <c r="CJ157" s="11"/>
      <c r="CK157" s="11"/>
      <c r="CL157" s="11"/>
      <c r="CM157" s="11"/>
      <c r="CN157" s="11"/>
      <c r="CO157" s="11"/>
      <c r="CP157" s="11"/>
      <c r="CQ157" s="11"/>
      <c r="CR157" s="11"/>
      <c r="CS157" s="11"/>
      <c r="CT157" s="11"/>
    </row>
    <row r="158" s="27" customFormat="1" customHeight="1" spans="10:98">
      <c r="J158" s="261"/>
      <c r="AY158" s="600"/>
      <c r="AZ158" s="600"/>
      <c r="BA158" s="600"/>
      <c r="BB158" s="600"/>
      <c r="BC158" s="600"/>
      <c r="BD158" s="600"/>
      <c r="BE158"/>
      <c r="BF158" s="614"/>
      <c r="BG158" s="592"/>
      <c r="BH158" s="592"/>
      <c r="BI158" s="592"/>
      <c r="BJ158" s="592"/>
      <c r="BK158" s="592"/>
      <c r="BL158" s="592"/>
      <c r="BM158" s="592"/>
      <c r="BN158" s="592"/>
      <c r="BO158" s="592"/>
      <c r="BP158" s="592"/>
      <c r="BQ158" s="592"/>
      <c r="BR158" s="592"/>
      <c r="BS158" s="592"/>
      <c r="BT158" s="592"/>
      <c r="BU158" s="592"/>
      <c r="BV158" s="592"/>
      <c r="BW158" s="592"/>
      <c r="BX158" s="592"/>
      <c r="BY158" s="592"/>
      <c r="BZ158" s="531"/>
      <c r="CA158" s="275"/>
      <c r="CB158" s="276"/>
      <c r="CC158" s="277"/>
    </row>
    <row r="159" s="27" customFormat="1" customHeight="1" spans="10:98">
      <c r="J159" s="261"/>
      <c r="AY159" s="600"/>
      <c r="AZ159" s="600"/>
      <c r="BA159" s="600"/>
      <c r="BB159" s="600"/>
      <c r="BC159" s="600"/>
      <c r="BD159" s="600"/>
      <c r="BE159"/>
      <c r="BF159" s="614"/>
      <c r="BG159" s="592"/>
      <c r="BH159" s="592"/>
      <c r="BI159" s="592"/>
      <c r="BJ159" s="592"/>
      <c r="BK159" s="592"/>
      <c r="BL159" s="592"/>
      <c r="BM159" s="592"/>
      <c r="BN159" s="592"/>
      <c r="BO159" s="592"/>
      <c r="BP159" s="592"/>
      <c r="BQ159" s="592"/>
      <c r="BR159" s="592"/>
      <c r="BS159" s="592"/>
      <c r="BT159" s="592"/>
      <c r="BU159" s="592"/>
      <c r="BV159" s="592"/>
      <c r="BW159" s="592"/>
      <c r="BX159" s="592"/>
      <c r="BY159" s="592"/>
      <c r="CA159" s="275"/>
      <c r="CB159" s="276"/>
      <c r="CC159" s="277"/>
    </row>
    <row r="160" s="27" customFormat="1" customHeight="1" spans="10:98">
      <c r="J160" s="261"/>
      <c r="AY160" s="600"/>
      <c r="AZ160" s="600"/>
      <c r="BA160" s="600"/>
      <c r="BB160" s="600"/>
      <c r="BC160" s="600"/>
      <c r="BD160" s="600"/>
      <c r="BE160"/>
      <c r="BF160" s="614"/>
      <c r="BG160" s="592"/>
      <c r="BH160" s="592"/>
      <c r="BI160" s="592"/>
      <c r="BJ160" s="592"/>
      <c r="BK160" s="592"/>
      <c r="BL160" s="592"/>
      <c r="BM160" s="592"/>
      <c r="BN160" s="592"/>
      <c r="BO160" s="592"/>
      <c r="BP160" s="592"/>
      <c r="BQ160" s="592"/>
      <c r="BR160" s="592"/>
      <c r="BS160" s="592"/>
      <c r="BT160" s="592"/>
      <c r="BU160" s="592"/>
      <c r="BV160" s="592"/>
      <c r="BW160" s="592"/>
      <c r="BX160" s="592"/>
      <c r="BY160" s="592"/>
      <c r="CA160" s="275"/>
      <c r="CB160" s="276"/>
      <c r="CC160" s="277"/>
    </row>
    <row r="161" s="27" customFormat="1" customHeight="1" spans="10:81">
      <c r="J161" s="261"/>
      <c r="AY161" s="600"/>
      <c r="AZ161" s="600"/>
      <c r="BA161" s="600"/>
      <c r="BB161" s="600"/>
      <c r="BC161" s="600"/>
      <c r="BD161" s="600"/>
      <c r="BE161"/>
      <c r="BF161" s="614"/>
      <c r="BG161" s="592"/>
      <c r="BH161" s="592"/>
      <c r="BI161" s="592"/>
      <c r="BJ161" s="592"/>
      <c r="BK161" s="592"/>
      <c r="BL161" s="592"/>
      <c r="BM161" s="592"/>
      <c r="BN161" s="592"/>
      <c r="BO161" s="592"/>
      <c r="BP161" s="592"/>
      <c r="BQ161" s="592"/>
      <c r="BR161" s="592"/>
      <c r="BS161" s="592"/>
      <c r="BT161" s="592"/>
      <c r="BU161" s="592"/>
      <c r="BV161" s="592"/>
      <c r="BW161" s="592"/>
      <c r="BX161" s="592"/>
      <c r="BY161" s="592"/>
      <c r="CA161" s="275"/>
      <c r="CB161" s="276"/>
      <c r="CC161" s="277"/>
    </row>
    <row r="162" s="27" customFormat="1" customHeight="1" spans="10:81">
      <c r="J162" s="261"/>
      <c r="AY162" s="600"/>
      <c r="AZ162" s="600"/>
      <c r="BA162" s="600"/>
      <c r="BB162" s="600"/>
      <c r="BC162" s="600"/>
      <c r="BD162" s="600"/>
      <c r="BE162"/>
      <c r="BF162" s="614"/>
      <c r="BG162" s="592"/>
      <c r="BH162" s="592"/>
      <c r="BI162" s="592"/>
      <c r="BJ162" s="592"/>
      <c r="BK162" s="592"/>
      <c r="BL162" s="592"/>
      <c r="BM162" s="592"/>
      <c r="BN162" s="592"/>
      <c r="BO162" s="592"/>
      <c r="BP162" s="592"/>
      <c r="BQ162" s="592"/>
      <c r="BR162" s="592"/>
      <c r="BS162" s="592"/>
      <c r="BT162" s="592"/>
      <c r="BU162" s="592"/>
      <c r="BV162" s="592"/>
      <c r="BW162" s="592"/>
      <c r="BX162" s="592"/>
      <c r="BY162" s="592"/>
      <c r="CA162" s="275"/>
      <c r="CB162" s="276"/>
      <c r="CC162" s="277"/>
    </row>
    <row r="163" s="27" customFormat="1" customHeight="1" spans="10:81">
      <c r="J163" s="261"/>
      <c r="AY163" s="618"/>
      <c r="AZ163" s="618"/>
      <c r="BA163" s="618"/>
      <c r="BB163" s="618"/>
      <c r="BC163" s="618"/>
      <c r="BD163" s="618"/>
      <c r="BE163"/>
      <c r="BF163" s="614"/>
      <c r="BG163" s="592"/>
      <c r="BH163" s="592"/>
      <c r="BI163" s="592"/>
      <c r="BJ163" s="592"/>
      <c r="BK163" s="592"/>
      <c r="BL163" s="592"/>
      <c r="BM163" s="592"/>
      <c r="BN163" s="592"/>
      <c r="BO163" s="592"/>
      <c r="BP163" s="592"/>
      <c r="BQ163" s="592"/>
      <c r="BR163" s="592"/>
      <c r="BS163" s="592"/>
      <c r="BT163" s="592"/>
      <c r="BU163" s="592"/>
      <c r="BV163" s="592"/>
      <c r="BW163" s="592"/>
      <c r="BX163" s="592"/>
      <c r="BY163" s="592"/>
      <c r="CA163" s="275"/>
      <c r="CB163" s="276"/>
      <c r="CC163" s="277"/>
    </row>
    <row r="164" s="27" customFormat="1" customHeight="1" spans="10:81">
      <c r="J164" s="261"/>
      <c r="AY164" s="11"/>
      <c r="AZ164" s="11"/>
      <c r="BA164" s="262"/>
      <c r="BB164" s="262"/>
      <c r="BC164" s="262"/>
      <c r="BD164" s="262"/>
      <c r="BE164"/>
      <c r="BF164" s="614"/>
      <c r="BG164" s="592"/>
      <c r="BH164" s="592"/>
      <c r="BI164" s="592"/>
      <c r="BJ164" s="592"/>
      <c r="BK164" s="592"/>
      <c r="BL164" s="592"/>
      <c r="BM164" s="592"/>
      <c r="BN164" s="592"/>
      <c r="BO164" s="592"/>
      <c r="BP164" s="592"/>
      <c r="BQ164" s="592"/>
      <c r="BR164" s="592"/>
      <c r="BS164" s="592"/>
      <c r="BT164" s="592"/>
      <c r="BU164" s="592"/>
      <c r="BV164" s="592"/>
      <c r="BW164" s="592"/>
      <c r="BX164" s="592"/>
      <c r="BY164" s="592"/>
      <c r="CA164" s="275"/>
      <c r="CB164" s="276"/>
      <c r="CC164" s="277"/>
    </row>
    <row r="165" s="27" customFormat="1" customHeight="1" spans="10:81">
      <c r="J165" s="261"/>
      <c r="AY165" s="619" t="s">
        <v>322</v>
      </c>
      <c r="AZ165" s="619"/>
      <c r="BA165" s="262"/>
      <c r="BB165" s="262"/>
      <c r="BC165" s="262"/>
      <c r="BD165" s="262"/>
      <c r="BE165"/>
      <c r="BF165" s="614"/>
      <c r="BG165" s="592"/>
      <c r="BH165" s="592"/>
      <c r="BI165" s="592"/>
      <c r="BJ165" s="592"/>
      <c r="BK165" s="592"/>
      <c r="BL165" s="592"/>
      <c r="BM165" s="592"/>
      <c r="BN165" s="592"/>
      <c r="BO165" s="592"/>
      <c r="BP165" s="592"/>
      <c r="BQ165" s="592"/>
      <c r="BR165" s="592"/>
      <c r="BS165" s="592"/>
      <c r="BT165" s="592"/>
      <c r="BU165" s="592"/>
      <c r="BV165" s="592"/>
      <c r="BW165" s="592"/>
      <c r="BX165" s="592"/>
      <c r="BY165" s="592"/>
      <c r="CA165" s="275"/>
      <c r="CB165" s="276"/>
      <c r="CC165" s="277"/>
    </row>
    <row r="166" s="27" customFormat="1" customHeight="1" spans="10:81">
      <c r="J166" s="261"/>
      <c r="AY166" s="619"/>
      <c r="AZ166" s="619"/>
      <c r="BA166" s="262"/>
      <c r="BB166" s="262"/>
      <c r="BC166" s="262"/>
      <c r="BD166" s="262"/>
      <c r="BE166"/>
      <c r="BF166" s="614"/>
      <c r="BG166" s="592"/>
      <c r="BH166" s="592"/>
      <c r="BI166" s="592"/>
      <c r="BJ166" s="592"/>
      <c r="BK166" s="592"/>
      <c r="BL166" s="592"/>
      <c r="BM166" s="592"/>
      <c r="BN166" s="592"/>
      <c r="BO166" s="592"/>
      <c r="BP166" s="592"/>
      <c r="BQ166" s="592"/>
      <c r="BR166" s="592"/>
      <c r="BS166" s="592"/>
      <c r="BT166" s="592"/>
      <c r="BU166" s="592"/>
      <c r="BV166" s="592"/>
      <c r="BW166" s="592"/>
      <c r="BX166" s="592"/>
      <c r="BY166" s="592"/>
      <c r="CA166" s="275"/>
      <c r="CB166" s="276"/>
      <c r="CC166" s="277"/>
    </row>
    <row r="167" s="27" customFormat="1" customHeight="1" spans="10:81">
      <c r="J167" s="261"/>
      <c r="AY167" s="619"/>
      <c r="AZ167" s="619"/>
      <c r="BA167" s="262"/>
      <c r="BB167" s="262"/>
      <c r="BC167" s="262"/>
      <c r="BD167" s="262"/>
      <c r="BE167"/>
      <c r="BF167" s="614"/>
      <c r="BG167" s="592"/>
      <c r="BH167" s="592"/>
      <c r="BI167" s="592"/>
      <c r="BJ167" s="592"/>
      <c r="BK167" s="592"/>
      <c r="BL167" s="592"/>
      <c r="BM167" s="592"/>
      <c r="BN167" s="592"/>
      <c r="BO167" s="592"/>
      <c r="BP167" s="592"/>
      <c r="BQ167" s="592"/>
      <c r="BR167" s="592"/>
      <c r="BS167" s="592"/>
      <c r="BT167" s="592"/>
      <c r="BU167" s="592"/>
      <c r="BV167" s="592"/>
      <c r="BW167" s="592"/>
      <c r="BX167" s="592"/>
      <c r="BY167" s="592"/>
      <c r="CA167" s="275"/>
      <c r="CB167" s="276"/>
      <c r="CC167" s="277"/>
    </row>
    <row r="168" s="27" customFormat="1" customHeight="1" spans="10:81">
      <c r="J168" s="261"/>
      <c r="AY168" s="619"/>
      <c r="AZ168" s="619"/>
      <c r="BA168" s="262"/>
      <c r="BB168" s="262"/>
      <c r="BC168" s="262"/>
      <c r="BD168" s="262"/>
      <c r="BE168"/>
      <c r="BF168" s="614"/>
      <c r="BG168" s="592"/>
      <c r="BH168" s="592"/>
      <c r="BI168" s="592"/>
      <c r="BJ168" s="592"/>
      <c r="BK168" s="592"/>
      <c r="BL168" s="592"/>
      <c r="BM168" s="592"/>
      <c r="BN168" s="592"/>
      <c r="BO168" s="592"/>
      <c r="BP168" s="592"/>
      <c r="BQ168" s="592"/>
      <c r="BR168" s="592"/>
      <c r="BS168" s="592"/>
      <c r="BT168" s="592"/>
      <c r="BU168" s="592"/>
      <c r="BV168" s="592"/>
      <c r="BW168" s="592"/>
      <c r="BX168" s="592"/>
      <c r="BY168" s="592"/>
      <c r="CA168" s="275"/>
      <c r="CB168" s="276"/>
      <c r="CC168" s="277"/>
    </row>
    <row r="169" s="27" customFormat="1" customHeight="1" spans="10:81">
      <c r="J169" s="261"/>
      <c r="AY169" s="619"/>
      <c r="AZ169" s="619"/>
      <c r="BA169" s="262"/>
      <c r="BB169" s="262"/>
      <c r="BC169" s="262"/>
      <c r="BD169" s="262"/>
      <c r="BE169"/>
      <c r="BF169" s="614"/>
      <c r="BG169" s="592"/>
      <c r="BH169" s="592"/>
      <c r="BI169" s="592"/>
      <c r="BJ169" s="592"/>
      <c r="BK169" s="592"/>
      <c r="BL169" s="592"/>
      <c r="BM169" s="592"/>
      <c r="BN169" s="592"/>
      <c r="BO169" s="592"/>
      <c r="BP169" s="592"/>
      <c r="BQ169" s="592"/>
      <c r="BR169" s="592"/>
      <c r="BS169" s="592"/>
      <c r="BT169" s="592"/>
      <c r="BU169" s="592"/>
      <c r="BV169" s="592"/>
      <c r="BW169" s="592"/>
      <c r="BX169" s="592"/>
      <c r="BY169" s="592"/>
      <c r="CA169" s="275"/>
      <c r="CB169" s="276"/>
      <c r="CC169" s="277"/>
    </row>
    <row r="170" s="27" customFormat="1" customHeight="1" spans="10:81">
      <c r="J170" s="261"/>
      <c r="AY170" s="620"/>
      <c r="AZ170" s="620"/>
      <c r="BA170" s="262"/>
      <c r="BB170" s="262"/>
      <c r="BC170" s="262"/>
      <c r="BD170" s="262"/>
      <c r="BE170"/>
      <c r="BF170" s="614"/>
      <c r="BG170" s="592"/>
      <c r="BH170" s="592"/>
      <c r="BI170" s="592"/>
      <c r="BJ170" s="592"/>
      <c r="BK170" s="592"/>
      <c r="BL170" s="592"/>
      <c r="BM170" s="592"/>
      <c r="BN170" s="592"/>
      <c r="BO170" s="592"/>
      <c r="BP170" s="592"/>
      <c r="BQ170" s="592"/>
      <c r="BR170" s="592"/>
      <c r="BS170" s="592"/>
      <c r="BT170" s="592"/>
      <c r="BU170" s="592"/>
      <c r="BV170" s="592"/>
      <c r="BW170" s="592"/>
      <c r="BX170" s="592"/>
      <c r="BY170" s="592"/>
      <c r="CA170" s="275"/>
      <c r="CB170" s="276"/>
      <c r="CC170" s="277"/>
    </row>
    <row r="171" s="27" customFormat="1" customHeight="1" spans="10:81">
      <c r="J171" s="261"/>
      <c r="AY171" s="4" t="s">
        <v>323</v>
      </c>
      <c r="AZ171" s="4"/>
      <c r="BA171" s="262"/>
      <c r="BB171" s="262"/>
      <c r="BC171" s="262"/>
      <c r="BD171" s="262"/>
      <c r="BE171"/>
      <c r="BF171" s="612" t="s">
        <v>324</v>
      </c>
      <c r="BG171" s="613" t="s">
        <v>325</v>
      </c>
      <c r="BH171" s="613"/>
      <c r="BI171" s="613"/>
      <c r="BJ171" s="613"/>
      <c r="BK171" s="613"/>
      <c r="BL171" s="613"/>
      <c r="BM171" s="613"/>
      <c r="BN171" s="613"/>
      <c r="BO171" s="613"/>
      <c r="BP171" s="613"/>
      <c r="BQ171" s="613"/>
      <c r="BR171" s="613"/>
      <c r="BS171" s="613"/>
      <c r="BT171" s="613"/>
      <c r="BU171" s="613"/>
      <c r="BV171" s="613"/>
      <c r="BW171" s="613"/>
      <c r="BX171" s="613"/>
      <c r="BY171" s="613"/>
      <c r="CA171" s="275"/>
      <c r="CB171" s="276"/>
      <c r="CC171" s="277"/>
    </row>
    <row r="172" s="27" customFormat="1" customHeight="1" spans="10:81">
      <c r="J172" s="261"/>
      <c r="AY172" s="4"/>
      <c r="AZ172" s="4"/>
      <c r="BA172" s="262"/>
      <c r="BB172" s="262"/>
      <c r="BC172" s="262"/>
      <c r="BD172" s="262"/>
      <c r="BE172"/>
      <c r="BF172" s="614"/>
      <c r="BG172" s="531"/>
      <c r="BH172" s="531"/>
      <c r="BI172" s="531"/>
      <c r="BJ172" s="531"/>
      <c r="BK172" s="531"/>
      <c r="BL172" s="531"/>
      <c r="BM172" s="531"/>
      <c r="BN172" s="531"/>
      <c r="BO172" s="531"/>
      <c r="BP172" s="531"/>
      <c r="BQ172" s="531"/>
      <c r="BR172" s="531"/>
      <c r="BS172" s="531"/>
      <c r="BT172" s="531"/>
      <c r="BU172" s="531"/>
      <c r="BV172" s="531"/>
      <c r="BW172" s="531"/>
      <c r="BX172" s="531"/>
      <c r="BY172" s="531"/>
      <c r="CA172" s="275"/>
      <c r="CB172" s="276"/>
      <c r="CC172" s="277"/>
    </row>
    <row r="173" s="27" customFormat="1" customHeight="1" spans="10:81">
      <c r="J173" s="261"/>
      <c r="AY173" s="4"/>
      <c r="AZ173" s="4"/>
      <c r="BA173" s="262"/>
      <c r="BB173" s="262"/>
      <c r="BC173" s="262"/>
      <c r="BD173" s="262"/>
      <c r="BE173"/>
      <c r="BF173" s="614"/>
      <c r="BG173" s="531"/>
      <c r="BH173" s="531"/>
      <c r="BI173" s="531"/>
      <c r="BJ173" s="531"/>
      <c r="BK173" s="531"/>
      <c r="BL173" s="531"/>
      <c r="BM173" s="531"/>
      <c r="BN173" s="531"/>
      <c r="BO173" s="531"/>
      <c r="BP173" s="531"/>
      <c r="BQ173" s="531"/>
      <c r="BR173" s="531"/>
      <c r="BS173" s="531"/>
      <c r="BT173" s="531"/>
      <c r="BU173" s="531"/>
      <c r="BV173" s="531"/>
      <c r="BW173" s="531"/>
      <c r="BX173" s="531"/>
      <c r="BY173" s="531"/>
      <c r="CA173" s="275"/>
      <c r="CB173" s="276"/>
      <c r="CC173" s="277"/>
    </row>
    <row r="174" s="27" customFormat="1" customHeight="1" spans="10:81">
      <c r="J174" s="261"/>
      <c r="AY174" s="4"/>
      <c r="AZ174" s="4"/>
      <c r="BA174" s="262" t="s">
        <v>326</v>
      </c>
      <c r="BB174" s="262"/>
      <c r="BC174" s="262"/>
      <c r="BD174" s="262"/>
      <c r="BE174"/>
      <c r="BF174" s="614"/>
      <c r="BG174" s="531"/>
      <c r="BH174" s="531"/>
      <c r="BI174" s="531"/>
      <c r="BJ174" s="531"/>
      <c r="BK174" s="531"/>
      <c r="BL174" s="531"/>
      <c r="BM174" s="531"/>
      <c r="BN174" s="531"/>
      <c r="BO174" s="531"/>
      <c r="BP174" s="531"/>
      <c r="BQ174" s="531"/>
      <c r="BR174" s="531"/>
      <c r="BS174" s="531"/>
      <c r="BT174" s="531"/>
      <c r="BU174" s="531"/>
      <c r="BV174" s="531"/>
      <c r="BW174" s="531"/>
      <c r="BX174" s="531"/>
      <c r="BY174" s="531"/>
      <c r="CA174" s="275"/>
      <c r="CB174" s="276"/>
      <c r="CC174" s="277"/>
    </row>
    <row r="175" s="27" customFormat="1" customHeight="1" spans="10:81">
      <c r="J175" s="261"/>
      <c r="AY175" s="4"/>
      <c r="AZ175" s="4"/>
      <c r="BA175" s="262"/>
      <c r="BB175" s="262"/>
      <c r="BC175" s="262"/>
      <c r="BD175" s="262"/>
      <c r="BE175"/>
      <c r="BF175" s="614"/>
      <c r="BG175" s="531"/>
      <c r="BH175" s="531"/>
      <c r="BI175" s="531"/>
      <c r="BJ175" s="531"/>
      <c r="BK175" s="531"/>
      <c r="BL175" s="531"/>
      <c r="BM175" s="531"/>
      <c r="BN175" s="531"/>
      <c r="BO175" s="531"/>
      <c r="BP175" s="531"/>
      <c r="BQ175" s="531"/>
      <c r="BR175" s="531"/>
      <c r="BS175" s="531"/>
      <c r="BT175" s="531"/>
      <c r="BU175" s="531"/>
      <c r="BV175" s="531"/>
      <c r="BW175" s="531"/>
      <c r="BX175" s="531"/>
      <c r="BY175" s="531"/>
      <c r="CA175" s="275"/>
      <c r="CB175" s="276"/>
      <c r="CC175" s="277"/>
    </row>
    <row r="176" s="27" customFormat="1" customHeight="1" spans="10:81">
      <c r="J176" s="261"/>
      <c r="AY176" s="4"/>
      <c r="AZ176" s="4"/>
      <c r="BA176" s="262"/>
      <c r="BB176" s="262"/>
      <c r="BC176" s="262"/>
      <c r="BD176" s="262"/>
      <c r="BE176"/>
      <c r="BF176" s="614"/>
      <c r="BG176" s="531"/>
      <c r="BH176" s="531"/>
      <c r="BI176" s="531"/>
      <c r="BJ176" s="531"/>
      <c r="BK176" s="531"/>
      <c r="BL176" s="531"/>
      <c r="BM176" s="531"/>
      <c r="BN176" s="531"/>
      <c r="BO176" s="531"/>
      <c r="BP176" s="531"/>
      <c r="BQ176" s="531"/>
      <c r="BR176" s="531"/>
      <c r="BS176" s="531"/>
      <c r="BT176" s="531"/>
      <c r="BU176" s="531"/>
      <c r="BV176" s="531"/>
      <c r="BW176" s="531"/>
      <c r="BX176" s="531"/>
      <c r="BY176" s="531"/>
      <c r="CA176" s="275"/>
      <c r="CB176" s="276"/>
      <c r="CC176" s="277"/>
    </row>
    <row r="177" s="27" customFormat="1" customHeight="1" spans="10:81">
      <c r="J177" s="261"/>
      <c r="AY177" s="4"/>
      <c r="AZ177" s="4"/>
      <c r="BA177" s="262"/>
      <c r="BB177" s="262"/>
      <c r="BC177" s="262"/>
      <c r="BD177" s="262"/>
      <c r="BE177"/>
      <c r="BF177" s="614"/>
      <c r="BG177" s="531"/>
      <c r="BH177" s="531"/>
      <c r="BI177" s="531"/>
      <c r="BJ177" s="531"/>
      <c r="BK177" s="531"/>
      <c r="BL177" s="531"/>
      <c r="BM177" s="531"/>
      <c r="BN177" s="531"/>
      <c r="BO177" s="531"/>
      <c r="BP177" s="531"/>
      <c r="BQ177" s="531"/>
      <c r="BR177" s="531"/>
      <c r="BS177" s="531"/>
      <c r="BT177" s="531"/>
      <c r="BU177" s="531"/>
      <c r="BV177" s="531"/>
      <c r="BW177" s="531"/>
      <c r="BX177" s="531"/>
      <c r="BY177" s="531"/>
      <c r="CA177" s="621"/>
      <c r="CB177" s="622"/>
      <c r="CC177" s="623"/>
    </row>
    <row r="178" s="27" customFormat="1" customHeight="1" spans="10:81">
      <c r="J178" s="261"/>
      <c r="AY178" s="4"/>
      <c r="AZ178" s="4"/>
      <c r="BA178" s="262"/>
      <c r="BB178" s="262"/>
      <c r="BC178" s="262"/>
      <c r="BD178" s="262"/>
      <c r="BE178"/>
      <c r="BF178" s="614"/>
      <c r="BG178" s="531"/>
      <c r="BH178" s="531"/>
      <c r="BI178" s="531"/>
      <c r="BJ178" s="531"/>
      <c r="BK178" s="531"/>
      <c r="BL178" s="531"/>
      <c r="BM178" s="531"/>
      <c r="BN178" s="531"/>
      <c r="BO178" s="531"/>
      <c r="BP178" s="531"/>
      <c r="BQ178" s="531"/>
      <c r="BR178" s="531"/>
      <c r="BS178" s="531"/>
      <c r="BT178" s="531"/>
      <c r="BU178" s="531"/>
      <c r="BV178" s="531"/>
      <c r="BW178" s="531"/>
      <c r="BX178" s="531"/>
      <c r="BY178" s="531"/>
    </row>
    <row r="179" s="27" customFormat="1" customHeight="1" spans="10:81">
      <c r="J179" s="261"/>
      <c r="AY179" s="4"/>
      <c r="AZ179" s="4"/>
      <c r="BA179" s="262" t="s">
        <v>327</v>
      </c>
      <c r="BB179" s="262"/>
      <c r="BC179" s="262"/>
      <c r="BD179" s="262"/>
      <c r="BE179"/>
      <c r="BF179" s="614"/>
      <c r="BG179" s="531"/>
      <c r="BH179" s="531"/>
      <c r="BI179" s="531"/>
      <c r="BJ179" s="531"/>
      <c r="BK179" s="531"/>
      <c r="BL179" s="531"/>
      <c r="BM179" s="531"/>
      <c r="BN179" s="531"/>
      <c r="BO179" s="531"/>
      <c r="BP179" s="531"/>
      <c r="BQ179" s="531"/>
      <c r="BR179" s="531"/>
      <c r="BS179" s="531"/>
      <c r="BT179" s="531"/>
      <c r="BU179" s="531"/>
      <c r="BV179" s="531"/>
      <c r="BW179" s="531"/>
      <c r="BX179" s="531"/>
      <c r="BY179" s="531"/>
    </row>
    <row r="180" s="27" customFormat="1" customHeight="1" spans="10:81">
      <c r="J180" s="261"/>
      <c r="AY180" s="4"/>
      <c r="AZ180" s="4"/>
      <c r="BA180" s="262"/>
      <c r="BB180" s="262"/>
      <c r="BC180" s="262"/>
      <c r="BD180" s="262"/>
      <c r="BE180"/>
      <c r="BF180" s="614"/>
      <c r="BG180" s="531"/>
      <c r="BH180" s="531"/>
      <c r="BI180" s="531"/>
      <c r="BJ180" s="531"/>
      <c r="BK180" s="531"/>
      <c r="BL180" s="531"/>
      <c r="BM180" s="531"/>
      <c r="BN180" s="531"/>
      <c r="BO180" s="531"/>
      <c r="BP180" s="531"/>
      <c r="BQ180" s="531"/>
      <c r="BR180" s="531"/>
      <c r="BS180" s="531"/>
      <c r="BT180" s="531"/>
      <c r="BU180" s="531"/>
      <c r="BV180" s="531"/>
      <c r="BW180" s="531"/>
      <c r="BX180" s="531"/>
      <c r="BY180" s="531"/>
    </row>
    <row r="181" s="27" customFormat="1" customHeight="1" spans="10:81">
      <c r="J181" s="261"/>
      <c r="AY181" s="4"/>
      <c r="AZ181" s="4"/>
      <c r="BA181" s="262"/>
      <c r="BB181" s="262"/>
      <c r="BC181" s="262"/>
      <c r="BD181" s="262"/>
      <c r="BE181"/>
      <c r="BF181" s="614"/>
      <c r="BG181" s="531"/>
      <c r="BH181" s="531"/>
      <c r="BI181" s="531"/>
      <c r="BJ181" s="531"/>
      <c r="BK181" s="531"/>
      <c r="BL181" s="531"/>
      <c r="BM181" s="531"/>
      <c r="BN181" s="531"/>
      <c r="BO181" s="531"/>
      <c r="BP181" s="531"/>
      <c r="BQ181" s="531"/>
      <c r="BR181" s="531"/>
      <c r="BS181" s="531"/>
      <c r="BT181" s="531"/>
      <c r="BU181" s="531"/>
      <c r="BV181" s="531"/>
      <c r="BW181" s="531"/>
      <c r="BX181" s="531"/>
      <c r="BY181" s="531"/>
    </row>
    <row r="182" s="27" customFormat="1" customHeight="1" spans="10:81">
      <c r="J182" s="261"/>
      <c r="AY182" s="4"/>
      <c r="AZ182" s="4"/>
      <c r="BA182" s="262"/>
      <c r="BB182" s="262"/>
      <c r="BC182" s="262"/>
      <c r="BD182" s="262"/>
      <c r="BE182"/>
      <c r="BF182" s="614"/>
      <c r="BG182" s="531"/>
      <c r="BH182" s="531"/>
      <c r="BI182" s="531"/>
      <c r="BJ182" s="531"/>
      <c r="BK182" s="531"/>
      <c r="BL182" s="531"/>
      <c r="BM182" s="531"/>
      <c r="BN182" s="531"/>
      <c r="BO182" s="531"/>
      <c r="BP182" s="531"/>
      <c r="BQ182" s="531"/>
      <c r="BR182" s="531"/>
      <c r="BS182" s="531"/>
      <c r="BT182" s="531"/>
      <c r="BU182" s="531"/>
      <c r="BV182" s="531"/>
      <c r="BW182" s="531"/>
      <c r="BX182" s="531"/>
      <c r="BY182" s="531"/>
    </row>
    <row r="183" s="27" customFormat="1" customHeight="1" spans="10:81">
      <c r="J183" s="261"/>
      <c r="AY183" s="4"/>
      <c r="AZ183" s="4"/>
      <c r="BA183" s="262" t="s">
        <v>328</v>
      </c>
      <c r="BB183" s="262"/>
      <c r="BC183" s="262"/>
      <c r="BD183" s="262"/>
      <c r="BE183"/>
      <c r="BF183" s="614"/>
      <c r="BG183" s="531"/>
      <c r="BH183" s="531"/>
      <c r="BI183" s="531"/>
      <c r="BJ183" s="531"/>
      <c r="BK183" s="531"/>
      <c r="BL183" s="531"/>
      <c r="BM183" s="531"/>
      <c r="BN183" s="531"/>
      <c r="BO183" s="531"/>
      <c r="BP183" s="531"/>
      <c r="BQ183" s="531"/>
      <c r="BR183" s="531"/>
      <c r="BS183" s="531"/>
      <c r="BT183" s="531"/>
      <c r="BU183" s="531"/>
      <c r="BV183" s="531"/>
      <c r="BW183" s="531"/>
      <c r="BX183" s="531"/>
      <c r="BY183" s="531"/>
    </row>
    <row r="184" s="27" customFormat="1" customHeight="1" spans="10:81">
      <c r="J184" s="261"/>
      <c r="AY184" s="4"/>
      <c r="AZ184" s="4"/>
      <c r="BA184" s="262"/>
      <c r="BB184" s="262"/>
      <c r="BC184" s="262"/>
      <c r="BD184" s="262"/>
      <c r="BE184"/>
      <c r="BF184" s="614"/>
      <c r="BG184" s="531"/>
      <c r="BH184" s="531"/>
      <c r="BI184" s="531"/>
      <c r="BJ184" s="531"/>
      <c r="BK184" s="531"/>
      <c r="BL184" s="531"/>
      <c r="BM184" s="531"/>
      <c r="BN184" s="531"/>
      <c r="BO184" s="531"/>
      <c r="BP184" s="531"/>
      <c r="BQ184" s="531"/>
      <c r="BR184" s="531"/>
      <c r="BS184" s="531"/>
      <c r="BT184" s="531"/>
      <c r="BU184" s="531"/>
      <c r="BV184" s="531"/>
      <c r="BW184" s="531"/>
      <c r="BX184" s="531"/>
      <c r="BY184" s="531"/>
    </row>
    <row r="185" s="27" customFormat="1" customHeight="1" spans="10:81">
      <c r="J185" s="261"/>
      <c r="AY185" s="4"/>
      <c r="AZ185" s="4"/>
      <c r="BA185" s="262"/>
      <c r="BB185" s="262"/>
      <c r="BC185" s="262"/>
      <c r="BD185" s="262"/>
      <c r="BE185"/>
      <c r="BF185" s="616"/>
      <c r="BG185" s="617"/>
      <c r="BH185" s="617"/>
      <c r="BI185" s="617"/>
      <c r="BJ185" s="617"/>
      <c r="BK185" s="617"/>
      <c r="BL185" s="617"/>
      <c r="BM185" s="617"/>
      <c r="BN185" s="617"/>
      <c r="BO185" s="617"/>
      <c r="BP185" s="617"/>
      <c r="BQ185" s="617"/>
      <c r="BR185" s="617"/>
      <c r="BS185" s="617"/>
      <c r="BT185" s="617"/>
      <c r="BU185" s="617"/>
      <c r="BV185" s="617"/>
      <c r="BW185" s="617"/>
      <c r="BX185" s="617"/>
      <c r="BY185" s="617"/>
    </row>
    <row r="186" s="27" customFormat="1" customHeight="1" spans="10:81">
      <c r="J186" s="261"/>
      <c r="AY186" s="4"/>
      <c r="AZ186" s="4"/>
      <c r="BA186" s="262"/>
      <c r="BB186" s="262"/>
      <c r="BC186" s="262"/>
      <c r="BD186" s="262"/>
      <c r="BE186"/>
    </row>
    <row r="187" s="27" customFormat="1" customHeight="1" spans="10:81">
      <c r="J187" s="261"/>
      <c r="AY187" s="4"/>
      <c r="AZ187" s="4"/>
      <c r="BA187" s="262" t="s">
        <v>329</v>
      </c>
      <c r="BB187" s="262"/>
      <c r="BC187" s="262"/>
      <c r="BD187" s="262"/>
      <c r="BE187"/>
      <c r="BF187" s="11"/>
    </row>
    <row r="188" s="27" customFormat="1" customHeight="1" spans="10:81">
      <c r="J188" s="261"/>
      <c r="AY188" s="4"/>
      <c r="AZ188" s="4"/>
      <c r="BA188" s="262"/>
      <c r="BB188" s="262"/>
      <c r="BC188" s="262"/>
      <c r="BD188" s="262"/>
      <c r="BE188"/>
      <c r="BF188" s="11"/>
    </row>
    <row r="189" s="27" customFormat="1" customHeight="1" spans="10:81">
      <c r="J189" s="261"/>
      <c r="AY189" s="4"/>
      <c r="AZ189" s="4"/>
      <c r="BA189" s="262"/>
      <c r="BB189" s="262"/>
      <c r="BC189" s="262"/>
      <c r="BD189" s="262"/>
      <c r="BE189"/>
      <c r="BF189"/>
    </row>
    <row r="190" s="27" customFormat="1" customHeight="1" spans="10:81">
      <c r="J190" s="261"/>
      <c r="AY190" s="4"/>
      <c r="AZ190" s="4"/>
      <c r="BA190" s="262"/>
      <c r="BB190" s="262"/>
      <c r="BC190" s="262"/>
      <c r="BD190" s="262"/>
      <c r="BE190"/>
      <c r="BF190"/>
    </row>
    <row r="191" s="27" customFormat="1" customHeight="1" spans="10:81">
      <c r="J191" s="261"/>
      <c r="AY191" s="4"/>
      <c r="AZ191" s="4"/>
      <c r="BA191" s="262"/>
      <c r="BB191" s="262"/>
      <c r="BC191" s="262"/>
      <c r="BD191" s="262"/>
      <c r="BE191"/>
      <c r="BF191"/>
    </row>
    <row r="192" s="27" customFormat="1" customHeight="1" spans="10:81">
      <c r="J192" s="261"/>
      <c r="AY192" s="4"/>
      <c r="AZ192" s="4"/>
      <c r="BA192" s="262"/>
      <c r="BB192" s="262"/>
      <c r="BC192" s="262"/>
      <c r="BD192" s="262"/>
      <c r="BE192"/>
      <c r="BF192"/>
    </row>
    <row r="193" s="27" customFormat="1" customHeight="1" spans="10:58">
      <c r="J193" s="261"/>
      <c r="AY193" s="4"/>
      <c r="AZ193" s="4"/>
      <c r="BA193" s="262"/>
      <c r="BB193" s="262"/>
      <c r="BC193" s="262"/>
      <c r="BD193" s="262"/>
      <c r="BE193"/>
      <c r="BF193"/>
    </row>
    <row r="194" s="27" customFormat="1" customHeight="1" spans="10:58">
      <c r="J194" s="261"/>
      <c r="AY194" s="4"/>
      <c r="AZ194" s="4"/>
      <c r="BA194" s="262"/>
      <c r="BB194" s="262"/>
      <c r="BC194" s="262"/>
      <c r="BD194" s="262"/>
      <c r="BE194"/>
      <c r="BF194"/>
    </row>
    <row r="195" s="27" customFormat="1" customHeight="1" spans="10:58">
      <c r="J195" s="261"/>
      <c r="AY195" s="4"/>
      <c r="AZ195" s="4"/>
      <c r="BA195" s="262"/>
      <c r="BB195" s="262"/>
      <c r="BC195" s="262"/>
      <c r="BD195" s="262"/>
      <c r="BE195"/>
      <c r="BF195"/>
    </row>
    <row r="196" s="27" customFormat="1" customHeight="1" spans="10:58">
      <c r="J196" s="261"/>
      <c r="AY196" s="4"/>
      <c r="AZ196" s="4"/>
      <c r="BA196" s="262"/>
      <c r="BB196" s="262"/>
      <c r="BC196" s="262"/>
      <c r="BD196" s="262"/>
      <c r="BE196"/>
      <c r="BF196"/>
    </row>
    <row r="197" s="27" customFormat="1" customHeight="1" spans="10:58">
      <c r="J197" s="261"/>
      <c r="AY197" s="4"/>
      <c r="AZ197" s="4"/>
      <c r="BA197" s="262"/>
      <c r="BB197" s="262"/>
      <c r="BC197" s="262"/>
      <c r="BD197" s="262"/>
      <c r="BE197"/>
      <c r="BF197"/>
    </row>
    <row r="198" s="27" customFormat="1" customHeight="1" spans="10:58">
      <c r="J198" s="261"/>
      <c r="AY198" s="4"/>
      <c r="AZ198" s="4"/>
      <c r="BA198" s="262"/>
      <c r="BB198" s="262"/>
      <c r="BC198" s="262"/>
      <c r="BD198" s="262"/>
      <c r="BE198"/>
      <c r="BF198"/>
    </row>
    <row r="199" s="27" customFormat="1" customHeight="1" spans="10:58">
      <c r="J199" s="261"/>
      <c r="AY199" s="4"/>
      <c r="AZ199" s="4"/>
      <c r="BA199" s="262"/>
      <c r="BB199" s="262"/>
      <c r="BC199" s="262"/>
      <c r="BD199" s="262"/>
      <c r="BE199"/>
      <c r="BF199"/>
    </row>
    <row r="200" s="27" customFormat="1" customHeight="1" spans="10:58">
      <c r="J200" s="261"/>
      <c r="AY200" s="4"/>
      <c r="AZ200" s="4"/>
      <c r="BA200" s="262"/>
      <c r="BB200" s="262"/>
      <c r="BC200" s="262"/>
      <c r="BD200" s="262"/>
      <c r="BE200"/>
      <c r="BF200"/>
    </row>
    <row r="201" s="27" customFormat="1" customHeight="1" spans="10:58">
      <c r="J201" s="261"/>
      <c r="AY201" s="4"/>
      <c r="AZ201" s="4"/>
      <c r="BA201" s="262"/>
      <c r="BB201" s="262"/>
      <c r="BC201" s="262"/>
      <c r="BD201" s="262"/>
      <c r="BE201"/>
      <c r="BF201"/>
    </row>
    <row r="202" s="27" customFormat="1" customHeight="1" spans="10:58">
      <c r="J202" s="261"/>
      <c r="AY202" s="4"/>
      <c r="AZ202" s="4"/>
      <c r="BA202" s="262"/>
      <c r="BB202" s="262"/>
      <c r="BC202" s="262"/>
      <c r="BD202" s="262"/>
      <c r="BE202"/>
      <c r="BF202"/>
    </row>
    <row r="203" s="27" customFormat="1" customHeight="1" spans="10:58">
      <c r="J203" s="261"/>
      <c r="AY203" s="4"/>
      <c r="AZ203" s="4"/>
      <c r="BA203" s="262" t="s">
        <v>330</v>
      </c>
      <c r="BB203" s="262"/>
      <c r="BC203" s="262"/>
      <c r="BD203" s="262"/>
      <c r="BE203"/>
      <c r="BF203"/>
    </row>
    <row r="204" s="27" customFormat="1" customHeight="1" spans="10:58">
      <c r="J204" s="261"/>
      <c r="AY204" s="4"/>
      <c r="AZ204" s="4"/>
      <c r="BA204" s="262"/>
      <c r="BB204" s="262"/>
      <c r="BC204" s="262"/>
      <c r="BD204" s="262"/>
      <c r="BE204"/>
      <c r="BF204"/>
    </row>
    <row r="205" s="27" customFormat="1" customHeight="1" spans="10:58">
      <c r="J205" s="261"/>
      <c r="AY205" s="4"/>
      <c r="AZ205" s="4"/>
      <c r="BA205" s="262"/>
      <c r="BB205" s="262"/>
    </row>
    <row r="206" s="27" customFormat="1" customHeight="1" spans="10:58">
      <c r="J206" s="261"/>
      <c r="AY206" s="4"/>
      <c r="AZ206" s="4"/>
      <c r="BA206" s="262"/>
      <c r="BB206" s="262"/>
    </row>
    <row r="207" s="27" customFormat="1" customHeight="1" spans="10:58">
      <c r="J207" s="261"/>
      <c r="AY207" s="4"/>
      <c r="AZ207" s="4"/>
      <c r="BA207" s="262"/>
      <c r="BB207" s="262"/>
    </row>
    <row r="208" s="27" customFormat="1" customHeight="1" spans="10:58">
      <c r="J208" s="261"/>
      <c r="AY208" s="4"/>
      <c r="AZ208" s="4"/>
      <c r="BA208" s="262"/>
      <c r="BB208" s="262"/>
    </row>
    <row r="209" s="27" customFormat="1" customHeight="1" spans="10:54">
      <c r="J209" s="261"/>
      <c r="AY209" s="4"/>
      <c r="AZ209" s="4"/>
      <c r="BA209" s="262"/>
      <c r="BB209" s="262"/>
    </row>
    <row r="210" s="27" customFormat="1" customHeight="1" spans="10:54">
      <c r="J210" s="261"/>
      <c r="AY210" s="4"/>
      <c r="AZ210" s="4"/>
      <c r="BA210" s="262"/>
      <c r="BB210" s="262"/>
    </row>
    <row r="211" s="27" customFormat="1" customHeight="1" spans="10:54">
      <c r="J211" s="261"/>
      <c r="AY211" s="4"/>
      <c r="AZ211" s="4"/>
      <c r="BA211" s="262"/>
      <c r="BB211" s="262"/>
    </row>
    <row r="212" s="27" customFormat="1" customHeight="1" spans="10:54">
      <c r="J212" s="261"/>
      <c r="AY212" s="4"/>
      <c r="AZ212" s="4"/>
      <c r="BA212" s="262"/>
      <c r="BB212" s="262"/>
    </row>
    <row r="213" s="27" customFormat="1" customHeight="1" spans="10:54">
      <c r="J213" s="261"/>
      <c r="AY213" s="4"/>
      <c r="AZ213" s="4"/>
      <c r="BA213" s="262"/>
      <c r="BB213" s="262"/>
    </row>
    <row r="214" s="27" customFormat="1" customHeight="1" spans="10:54">
      <c r="J214" s="261"/>
      <c r="AY214" s="4"/>
      <c r="AZ214" s="4"/>
      <c r="BA214" s="262"/>
      <c r="BB214" s="262"/>
    </row>
    <row r="215" s="27" customFormat="1" customHeight="1" spans="10:54">
      <c r="J215" s="261"/>
      <c r="AY215" s="4"/>
      <c r="AZ215" s="4"/>
      <c r="BA215" s="262"/>
      <c r="BB215" s="262"/>
    </row>
    <row r="216" s="27" customFormat="1" customHeight="1" spans="10:54">
      <c r="J216" s="261"/>
      <c r="AY216" s="4"/>
      <c r="AZ216" s="4"/>
      <c r="BA216" s="262"/>
      <c r="BB216" s="262"/>
    </row>
    <row r="217" s="27" customFormat="1" customHeight="1" spans="10:54">
      <c r="J217" s="261"/>
      <c r="AY217" s="4"/>
      <c r="AZ217" s="4"/>
      <c r="BA217" s="262"/>
      <c r="BB217" s="262"/>
    </row>
    <row r="218" s="27" customFormat="1" customHeight="1" spans="10:54">
      <c r="J218" s="261"/>
      <c r="AY218" s="4"/>
      <c r="AZ218" s="4"/>
      <c r="BA218" s="262"/>
      <c r="BB218" s="262"/>
    </row>
    <row r="219" s="27" customFormat="1" customHeight="1" spans="10:54">
      <c r="J219" s="261"/>
      <c r="AY219" s="4"/>
      <c r="AZ219" s="4"/>
      <c r="BA219" s="262"/>
      <c r="BB219" s="262"/>
    </row>
    <row r="220" s="27" customFormat="1" customHeight="1" spans="10:54">
      <c r="J220" s="261"/>
      <c r="AY220" s="4"/>
      <c r="AZ220" s="4"/>
      <c r="BA220" s="262"/>
      <c r="BB220" s="262"/>
    </row>
    <row r="221" s="27" customFormat="1" customHeight="1" spans="10:54">
      <c r="J221" s="261"/>
      <c r="AY221" s="4"/>
      <c r="AZ221" s="4"/>
      <c r="BA221" s="262"/>
      <c r="BB221" s="262"/>
    </row>
    <row r="222" s="27" customFormat="1" customHeight="1" spans="10:54">
      <c r="J222" s="261"/>
      <c r="AY222" s="4"/>
      <c r="AZ222" s="4"/>
      <c r="BA222" s="262"/>
      <c r="BB222" s="262"/>
    </row>
    <row r="223" s="27" customFormat="1" customHeight="1" spans="10:54">
      <c r="J223" s="261"/>
      <c r="AY223" s="4"/>
      <c r="AZ223" s="4"/>
      <c r="BA223" s="262"/>
      <c r="BB223" s="262"/>
    </row>
    <row r="224" s="27" customFormat="1" customHeight="1" spans="10:54">
      <c r="J224" s="261"/>
      <c r="AY224" s="4"/>
      <c r="AZ224" s="4"/>
      <c r="BA224" s="262"/>
      <c r="BB224" s="262"/>
    </row>
    <row r="225" s="27" customFormat="1" customHeight="1" spans="10:78">
      <c r="J225" s="261"/>
    </row>
    <row r="226" s="27" customFormat="1" customHeight="1" spans="10:78">
      <c r="J226" s="261"/>
      <c r="AY226" s="11"/>
      <c r="AZ226" s="11"/>
      <c r="BA226" s="262"/>
      <c r="BB226" s="262"/>
    </row>
    <row r="227" s="27" customFormat="1" customHeight="1" spans="10:78">
      <c r="J227" s="261"/>
    </row>
    <row r="228" s="27" customFormat="1" customHeight="1" spans="10:78">
      <c r="J228" s="261"/>
    </row>
    <row r="229" s="27" customFormat="1" customHeight="1" spans="10:78">
      <c r="J229" s="261"/>
    </row>
    <row r="230" s="27" customFormat="1" customHeight="1" spans="10:78">
      <c r="J230" s="261"/>
    </row>
    <row r="231" s="27" customFormat="1" customHeight="1" spans="10:78">
      <c r="J231" s="261"/>
    </row>
    <row r="232" s="27" customFormat="1" customHeight="1" spans="10:78">
      <c r="J232" s="261"/>
    </row>
    <row r="233" s="27" customFormat="1" customHeight="1" spans="10:78">
      <c r="J233" s="261"/>
    </row>
    <row r="234" s="27" customFormat="1" customHeight="1" spans="10:78">
      <c r="J234" s="261"/>
    </row>
    <row r="235" s="27" customFormat="1" customHeight="1" spans="10:78">
      <c r="J235" s="261"/>
    </row>
    <row r="236" s="27" customFormat="1" customHeight="1" spans="10:78">
      <c r="J236" s="261"/>
    </row>
    <row r="237" s="27" customFormat="1" customHeight="1" spans="10:78">
      <c r="J237" s="261"/>
    </row>
    <row r="238" s="27" customFormat="1" customHeight="1" spans="10:78">
      <c r="J238" s="261"/>
    </row>
    <row r="239" s="27" customFormat="1" customHeight="1" spans="10:78">
      <c r="J239" s="261"/>
    </row>
    <row r="240" s="27" customFormat="1" customHeight="1" spans="10:78">
      <c r="J240" s="261"/>
      <c r="BZ240"/>
    </row>
    <row r="241" s="27" customFormat="1" customHeight="1" spans="10:78">
      <c r="J241" s="261"/>
      <c r="BZ241"/>
    </row>
    <row r="242" s="27" customFormat="1" customHeight="1" spans="10:78">
      <c r="J242" s="261"/>
      <c r="BZ242"/>
    </row>
    <row r="243" s="27" customFormat="1" customHeight="1" spans="10:78">
      <c r="J243" s="261"/>
      <c r="BZ243"/>
    </row>
    <row r="244" s="27" customFormat="1" customHeight="1" spans="10:78">
      <c r="J244" s="261"/>
      <c r="BZ244"/>
    </row>
    <row r="245" s="27" customFormat="1" customHeight="1" spans="10:78">
      <c r="J245" s="261"/>
      <c r="BZ245"/>
    </row>
    <row r="246" s="27" customFormat="1" customHeight="1" spans="10:78">
      <c r="J246" s="261"/>
      <c r="BZ246"/>
    </row>
    <row r="247" s="27" customFormat="1" customHeight="1" spans="10:78">
      <c r="J247" s="261"/>
      <c r="BZ247"/>
    </row>
    <row r="248" s="27" customFormat="1" customHeight="1" spans="10:78">
      <c r="J248" s="261"/>
      <c r="BZ248"/>
    </row>
    <row r="249" s="27" customFormat="1" customHeight="1" spans="10:78">
      <c r="J249" s="261"/>
      <c r="BZ249"/>
    </row>
    <row r="250" s="27" customFormat="1" customHeight="1" spans="10:78">
      <c r="J250" s="261"/>
      <c r="BZ250"/>
    </row>
    <row r="251" s="27" customFormat="1" customHeight="1" spans="10:78">
      <c r="J251" s="261"/>
      <c r="BZ251"/>
    </row>
    <row r="252" s="27" customFormat="1" customHeight="1" spans="10:78">
      <c r="J252" s="261"/>
      <c r="BZ252"/>
    </row>
    <row r="253" s="27" customFormat="1" customHeight="1" spans="10:78">
      <c r="J253" s="261"/>
      <c r="BZ253"/>
    </row>
    <row r="254" s="27" customFormat="1" customHeight="1" spans="10:78">
      <c r="J254" s="261"/>
      <c r="BZ254"/>
    </row>
    <row r="255" s="27" customFormat="1" customHeight="1" spans="10:78">
      <c r="J255" s="261"/>
      <c r="BZ255"/>
    </row>
    <row r="256" s="27" customFormat="1" customHeight="1" spans="10:78">
      <c r="J256" s="261"/>
      <c r="BZ256"/>
    </row>
    <row r="257" s="27" customFormat="1" customHeight="1" spans="10:78">
      <c r="J257" s="261"/>
      <c r="BZ257"/>
    </row>
    <row r="258" s="27" customFormat="1" customHeight="1" spans="10:78">
      <c r="J258" s="261"/>
      <c r="BZ258"/>
    </row>
    <row r="259" s="27" customFormat="1" customHeight="1" spans="10:78">
      <c r="J259" s="261"/>
      <c r="BZ259"/>
    </row>
    <row r="260" s="27" customFormat="1" customHeight="1" spans="10:78">
      <c r="J260" s="261"/>
      <c r="BZ260"/>
    </row>
    <row r="261" s="27" customFormat="1" customHeight="1" spans="10:78">
      <c r="J261" s="261"/>
      <c r="BZ261"/>
    </row>
    <row r="262" s="27" customFormat="1" customHeight="1" spans="10:78">
      <c r="J262" s="261"/>
      <c r="BZ262"/>
    </row>
    <row r="263" s="27" customFormat="1" customHeight="1" spans="10:78">
      <c r="J263" s="261"/>
      <c r="BZ263"/>
    </row>
    <row r="264" s="27" customFormat="1" customHeight="1" spans="10:78">
      <c r="J264" s="261"/>
      <c r="BZ264"/>
    </row>
    <row r="265" s="27" customFormat="1" customHeight="1" spans="10:78">
      <c r="J265" s="261"/>
      <c r="BZ265"/>
    </row>
    <row r="266" s="27" customFormat="1" customHeight="1" spans="10:78">
      <c r="J266" s="261"/>
      <c r="BZ266"/>
    </row>
    <row r="267" s="27" customFormat="1" customHeight="1" spans="10:78">
      <c r="J267" s="261"/>
      <c r="BZ267"/>
    </row>
    <row r="268" s="27" customFormat="1" customHeight="1" spans="10:78">
      <c r="J268" s="261"/>
      <c r="BZ268"/>
    </row>
    <row r="269" s="27" customFormat="1" customHeight="1" spans="10:78">
      <c r="J269" s="261"/>
      <c r="BZ269"/>
    </row>
    <row r="270" s="27" customFormat="1" customHeight="1" spans="10:78">
      <c r="J270" s="261"/>
      <c r="BZ270"/>
    </row>
    <row r="271" s="27" customFormat="1" customHeight="1" spans="10:78">
      <c r="J271" s="261"/>
      <c r="BZ271"/>
    </row>
    <row r="272" s="27" customFormat="1" customHeight="1" spans="10:78">
      <c r="J272" s="261"/>
      <c r="BE272"/>
      <c r="BZ272"/>
    </row>
    <row r="273" s="27" customFormat="1" customHeight="1" spans="10:78">
      <c r="J273" s="261"/>
      <c r="BE273"/>
      <c r="BZ273"/>
    </row>
    <row r="274" s="27" customFormat="1" customHeight="1" spans="10:78">
      <c r="J274" s="261"/>
      <c r="BE274"/>
      <c r="BZ274"/>
    </row>
    <row r="275" s="27" customFormat="1" customHeight="1" spans="10:78">
      <c r="J275" s="261"/>
      <c r="BE275"/>
      <c r="BZ275"/>
    </row>
    <row r="276" s="27" customFormat="1" customHeight="1" spans="10:78">
      <c r="J276" s="261"/>
      <c r="BE276"/>
      <c r="BZ276"/>
    </row>
    <row r="277" s="27" customFormat="1" customHeight="1" spans="10:78">
      <c r="J277" s="261"/>
      <c r="BE277"/>
      <c r="BZ277"/>
    </row>
    <row r="278" s="27" customFormat="1" customHeight="1" spans="10:78">
      <c r="J278" s="261"/>
      <c r="BE278"/>
      <c r="BZ278"/>
    </row>
    <row r="279" s="27" customFormat="1" customHeight="1" spans="10:78">
      <c r="J279" s="261"/>
      <c r="BE279"/>
      <c r="BZ279"/>
    </row>
    <row r="280" s="27" customFormat="1" customHeight="1" spans="10:78">
      <c r="J280" s="261"/>
      <c r="BE280"/>
      <c r="BZ280"/>
    </row>
    <row r="281" s="27" customFormat="1" customHeight="1" spans="10:78">
      <c r="J281" s="261"/>
      <c r="BE281"/>
      <c r="BZ281"/>
    </row>
    <row r="282" s="27" customFormat="1" customHeight="1" spans="10:78">
      <c r="J282" s="261"/>
      <c r="BE282"/>
      <c r="BZ282"/>
    </row>
    <row r="283" s="27" customFormat="1" customHeight="1" spans="10:78">
      <c r="J283" s="261"/>
      <c r="BE283"/>
      <c r="BZ283"/>
    </row>
    <row r="284" s="27" customFormat="1" customHeight="1" spans="10:78">
      <c r="J284" s="261"/>
      <c r="BE284"/>
      <c r="BZ284"/>
    </row>
    <row r="285" s="27" customFormat="1" customHeight="1" spans="10:78">
      <c r="J285" s="261"/>
      <c r="BE285"/>
      <c r="BZ285"/>
    </row>
    <row r="286" s="27" customFormat="1" customHeight="1" spans="10:78">
      <c r="J286" s="261"/>
      <c r="BE286"/>
      <c r="BZ286"/>
    </row>
    <row r="287" s="27" customFormat="1" customHeight="1" spans="10:78">
      <c r="J287" s="261"/>
      <c r="BE287"/>
      <c r="BZ287"/>
    </row>
    <row r="288" s="27" customFormat="1" customHeight="1" spans="10:78">
      <c r="J288" s="261"/>
      <c r="BE288"/>
      <c r="BZ288"/>
    </row>
    <row r="289" s="27" customFormat="1" customHeight="1" spans="10:78">
      <c r="J289" s="261"/>
      <c r="BE289"/>
      <c r="BZ289"/>
    </row>
    <row r="290" s="27" customFormat="1" customHeight="1" spans="10:78">
      <c r="J290" s="261"/>
      <c r="BE290"/>
      <c r="BZ290"/>
    </row>
    <row r="291" s="27" customFormat="1" customHeight="1" spans="10:78">
      <c r="J291" s="261"/>
      <c r="BE291"/>
      <c r="BZ291"/>
    </row>
    <row r="292" s="27" customFormat="1" customHeight="1" spans="10:78">
      <c r="J292" s="261"/>
      <c r="BE292"/>
      <c r="BZ292"/>
    </row>
    <row r="293" s="27" customFormat="1" customHeight="1" spans="10:78">
      <c r="J293" s="261"/>
      <c r="BE293"/>
      <c r="BF293"/>
      <c r="BG293"/>
      <c r="BH293"/>
      <c r="BI293"/>
      <c r="BJ293"/>
      <c r="BK293"/>
      <c r="BL293"/>
      <c r="BM293"/>
      <c r="BN293"/>
      <c r="BO293"/>
      <c r="BP293"/>
      <c r="BQ293"/>
      <c r="BR293"/>
      <c r="BS293"/>
      <c r="BT293"/>
      <c r="BU293"/>
      <c r="BV293"/>
      <c r="BW293"/>
      <c r="BX293"/>
      <c r="BY293"/>
      <c r="BZ293"/>
    </row>
    <row r="294" s="27" customFormat="1" customHeight="1" spans="10:78">
      <c r="J294" s="261"/>
      <c r="BE294"/>
      <c r="BF294"/>
      <c r="BG294"/>
      <c r="BH294"/>
      <c r="BI294"/>
      <c r="BJ294"/>
      <c r="BK294"/>
      <c r="BL294"/>
      <c r="BM294"/>
      <c r="BN294"/>
      <c r="BO294"/>
      <c r="BP294"/>
      <c r="BQ294"/>
      <c r="BR294"/>
      <c r="BS294"/>
      <c r="BT294"/>
      <c r="BU294"/>
      <c r="BV294"/>
      <c r="BW294"/>
      <c r="BX294"/>
      <c r="BY294"/>
      <c r="BZ294"/>
    </row>
    <row r="295" s="27" customFormat="1" customHeight="1" spans="10:78">
      <c r="J295" s="261"/>
      <c r="BE295"/>
      <c r="BF295"/>
      <c r="BG295"/>
      <c r="BH295"/>
      <c r="BI295"/>
      <c r="BJ295"/>
      <c r="BK295"/>
      <c r="BL295"/>
      <c r="BM295"/>
      <c r="BN295"/>
      <c r="BO295"/>
      <c r="BP295"/>
      <c r="BQ295"/>
      <c r="BR295"/>
      <c r="BS295"/>
      <c r="BT295"/>
      <c r="BU295"/>
      <c r="BV295"/>
      <c r="BW295"/>
      <c r="BX295"/>
      <c r="BY295"/>
      <c r="BZ295"/>
    </row>
    <row r="296" s="27" customFormat="1" customHeight="1" spans="10:78">
      <c r="J296" s="261"/>
      <c r="BE296"/>
      <c r="BF296"/>
      <c r="BG296"/>
      <c r="BH296"/>
      <c r="BI296"/>
      <c r="BJ296"/>
      <c r="BK296"/>
      <c r="BL296"/>
      <c r="BM296"/>
      <c r="BN296"/>
      <c r="BO296"/>
      <c r="BP296"/>
      <c r="BQ296"/>
      <c r="BR296"/>
      <c r="BS296"/>
      <c r="BT296"/>
      <c r="BU296"/>
      <c r="BV296"/>
      <c r="BW296"/>
      <c r="BX296"/>
      <c r="BY296"/>
      <c r="BZ296"/>
    </row>
    <row r="297" s="27" customFormat="1" customHeight="1" spans="10:78">
      <c r="J297" s="261"/>
      <c r="BE297"/>
      <c r="BF297"/>
      <c r="BG297"/>
      <c r="BH297"/>
      <c r="BI297"/>
      <c r="BJ297"/>
      <c r="BK297"/>
      <c r="BL297"/>
      <c r="BM297"/>
      <c r="BN297"/>
      <c r="BO297"/>
      <c r="BP297"/>
      <c r="BQ297"/>
      <c r="BR297"/>
      <c r="BS297"/>
      <c r="BT297"/>
      <c r="BU297"/>
      <c r="BV297"/>
      <c r="BW297"/>
      <c r="BX297"/>
      <c r="BY297"/>
      <c r="BZ297"/>
    </row>
    <row r="298" s="27" customFormat="1" customHeight="1" spans="10:78">
      <c r="J298" s="261"/>
      <c r="BE298"/>
      <c r="BF298"/>
      <c r="BG298"/>
      <c r="BH298"/>
      <c r="BI298"/>
      <c r="BJ298"/>
      <c r="BK298"/>
      <c r="BL298"/>
      <c r="BM298"/>
      <c r="BN298"/>
      <c r="BO298"/>
      <c r="BP298"/>
      <c r="BQ298"/>
      <c r="BR298"/>
      <c r="BS298"/>
      <c r="BT298"/>
      <c r="BU298"/>
      <c r="BV298"/>
      <c r="BW298"/>
      <c r="BX298"/>
      <c r="BY298"/>
      <c r="BZ298"/>
    </row>
    <row r="299" s="27" customFormat="1" customHeight="1" spans="10:78">
      <c r="J299" s="261"/>
      <c r="BE299"/>
      <c r="BF299"/>
      <c r="BG299"/>
      <c r="BH299"/>
      <c r="BI299"/>
      <c r="BJ299"/>
      <c r="BK299"/>
      <c r="BL299"/>
      <c r="BM299"/>
      <c r="BN299"/>
      <c r="BO299"/>
      <c r="BP299"/>
      <c r="BQ299"/>
      <c r="BR299"/>
      <c r="BS299"/>
      <c r="BT299"/>
      <c r="BU299"/>
      <c r="BV299"/>
      <c r="BW299"/>
      <c r="BX299"/>
      <c r="BY299"/>
      <c r="BZ299"/>
    </row>
    <row r="300" s="27" customFormat="1" customHeight="1" spans="10:78">
      <c r="J300" s="261"/>
      <c r="BE300"/>
      <c r="BF300"/>
      <c r="BG300"/>
      <c r="BH300"/>
      <c r="BI300"/>
      <c r="BJ300"/>
      <c r="BK300"/>
      <c r="BL300"/>
      <c r="BM300"/>
      <c r="BN300"/>
      <c r="BO300"/>
      <c r="BP300"/>
      <c r="BQ300"/>
      <c r="BR300"/>
      <c r="BS300"/>
      <c r="BT300"/>
      <c r="BU300"/>
      <c r="BV300"/>
      <c r="BW300"/>
      <c r="BX300"/>
      <c r="BY300"/>
      <c r="BZ300"/>
    </row>
    <row r="301" s="27" customFormat="1" customHeight="1" spans="10:78">
      <c r="J301" s="261"/>
      <c r="BE301"/>
      <c r="BF301"/>
      <c r="BG301"/>
      <c r="BH301"/>
      <c r="BI301"/>
      <c r="BJ301"/>
      <c r="BK301"/>
      <c r="BL301"/>
      <c r="BM301"/>
      <c r="BN301"/>
      <c r="BO301"/>
      <c r="BP301"/>
      <c r="BQ301"/>
      <c r="BR301"/>
      <c r="BS301"/>
      <c r="BT301"/>
      <c r="BU301"/>
      <c r="BV301"/>
      <c r="BW301"/>
      <c r="BX301"/>
      <c r="BY301"/>
      <c r="BZ301"/>
    </row>
    <row r="302" s="27" customFormat="1" customHeight="1" spans="10:78">
      <c r="J302" s="261"/>
      <c r="BE302"/>
      <c r="BF302"/>
      <c r="BG302"/>
      <c r="BH302"/>
      <c r="BI302"/>
      <c r="BJ302"/>
      <c r="BK302"/>
      <c r="BL302"/>
      <c r="BM302"/>
      <c r="BN302"/>
      <c r="BO302"/>
      <c r="BP302"/>
      <c r="BQ302"/>
      <c r="BR302"/>
      <c r="BS302"/>
      <c r="BT302"/>
      <c r="BU302"/>
      <c r="BV302"/>
      <c r="BW302"/>
      <c r="BX302"/>
      <c r="BY302"/>
      <c r="BZ302"/>
    </row>
    <row r="303" s="27" customFormat="1" customHeight="1" spans="10:78">
      <c r="J303" s="261"/>
      <c r="BE303"/>
      <c r="BF303"/>
      <c r="BG303"/>
      <c r="BH303"/>
      <c r="BI303"/>
      <c r="BJ303"/>
      <c r="BK303"/>
      <c r="BL303"/>
      <c r="BM303"/>
      <c r="BN303"/>
      <c r="BO303"/>
      <c r="BP303"/>
      <c r="BQ303"/>
      <c r="BR303"/>
      <c r="BS303"/>
      <c r="BT303"/>
      <c r="BU303"/>
      <c r="BV303"/>
      <c r="BW303"/>
      <c r="BX303"/>
      <c r="BY303"/>
      <c r="BZ303"/>
    </row>
    <row r="304" s="27" customFormat="1" customHeight="1" spans="10:78">
      <c r="J304" s="261"/>
      <c r="BE304"/>
      <c r="BF304"/>
      <c r="BG304"/>
      <c r="BH304"/>
      <c r="BI304"/>
      <c r="BJ304"/>
      <c r="BK304"/>
      <c r="BL304"/>
      <c r="BM304"/>
      <c r="BN304"/>
      <c r="BO304"/>
      <c r="BP304"/>
      <c r="BQ304"/>
      <c r="BR304"/>
      <c r="BS304"/>
      <c r="BT304"/>
      <c r="BU304"/>
      <c r="BV304"/>
      <c r="BW304"/>
      <c r="BX304"/>
      <c r="BY304"/>
      <c r="BZ304"/>
    </row>
    <row r="305" s="27" customFormat="1" customHeight="1" spans="10:78">
      <c r="J305" s="261"/>
      <c r="BE305"/>
      <c r="BF305"/>
      <c r="BG305"/>
      <c r="BH305"/>
      <c r="BI305"/>
      <c r="BJ305"/>
      <c r="BK305"/>
      <c r="BL305"/>
      <c r="BM305"/>
      <c r="BN305"/>
      <c r="BO305"/>
      <c r="BP305"/>
      <c r="BQ305"/>
      <c r="BR305"/>
      <c r="BS305"/>
      <c r="BT305"/>
      <c r="BU305"/>
      <c r="BV305"/>
      <c r="BW305"/>
      <c r="BX305"/>
      <c r="BY305"/>
      <c r="BZ305"/>
    </row>
    <row r="306" s="27" customFormat="1" customHeight="1" spans="10:78">
      <c r="J306" s="261"/>
      <c r="BE306"/>
      <c r="BF306"/>
      <c r="BG306"/>
      <c r="BH306"/>
      <c r="BI306"/>
      <c r="BJ306"/>
      <c r="BK306"/>
      <c r="BL306"/>
      <c r="BM306"/>
      <c r="BN306"/>
      <c r="BO306"/>
      <c r="BP306"/>
      <c r="BQ306"/>
      <c r="BR306"/>
      <c r="BS306"/>
      <c r="BT306"/>
      <c r="BU306"/>
      <c r="BV306"/>
      <c r="BW306"/>
      <c r="BX306"/>
      <c r="BY306"/>
      <c r="BZ306"/>
    </row>
    <row r="307" s="27" customFormat="1" customHeight="1" spans="10:78">
      <c r="J307" s="261"/>
      <c r="BE307"/>
      <c r="BF307"/>
      <c r="BG307"/>
      <c r="BH307"/>
      <c r="BI307"/>
      <c r="BJ307"/>
      <c r="BK307"/>
      <c r="BL307"/>
      <c r="BM307"/>
      <c r="BN307"/>
      <c r="BO307"/>
      <c r="BP307"/>
      <c r="BQ307"/>
      <c r="BR307"/>
      <c r="BS307"/>
      <c r="BT307"/>
      <c r="BU307"/>
      <c r="BV307"/>
      <c r="BW307"/>
      <c r="BX307"/>
      <c r="BY307"/>
      <c r="BZ307"/>
    </row>
    <row r="308" s="27" customFormat="1" customHeight="1" spans="10:78">
      <c r="J308" s="261"/>
      <c r="BE308"/>
      <c r="BF308"/>
      <c r="BG308"/>
      <c r="BH308"/>
      <c r="BI308"/>
      <c r="BJ308"/>
      <c r="BK308"/>
      <c r="BL308"/>
      <c r="BM308"/>
      <c r="BN308"/>
      <c r="BO308"/>
      <c r="BP308"/>
      <c r="BQ308"/>
      <c r="BR308"/>
      <c r="BS308"/>
      <c r="BT308"/>
      <c r="BU308"/>
      <c r="BV308"/>
      <c r="BW308"/>
      <c r="BX308"/>
      <c r="BY308"/>
      <c r="BZ308"/>
    </row>
    <row r="309" s="27" customFormat="1" customHeight="1" spans="10:78">
      <c r="J309" s="261"/>
      <c r="BE309"/>
      <c r="BF309"/>
      <c r="BG309"/>
      <c r="BH309"/>
      <c r="BI309"/>
      <c r="BJ309"/>
      <c r="BK309"/>
      <c r="BL309"/>
      <c r="BM309"/>
      <c r="BN309"/>
      <c r="BO309"/>
      <c r="BP309"/>
      <c r="BQ309"/>
      <c r="BR309"/>
      <c r="BS309"/>
      <c r="BT309"/>
      <c r="BU309"/>
      <c r="BV309"/>
      <c r="BW309"/>
      <c r="BX309"/>
      <c r="BY309"/>
      <c r="BZ309"/>
    </row>
    <row r="310" s="27" customFormat="1" customHeight="1" spans="10:78">
      <c r="J310" s="261"/>
      <c r="BE310"/>
      <c r="BF310"/>
      <c r="BG310"/>
      <c r="BH310"/>
      <c r="BI310"/>
      <c r="BJ310"/>
      <c r="BK310"/>
      <c r="BL310"/>
      <c r="BM310"/>
      <c r="BN310"/>
      <c r="BO310"/>
      <c r="BP310"/>
      <c r="BQ310"/>
      <c r="BR310"/>
      <c r="BS310"/>
      <c r="BT310"/>
      <c r="BU310"/>
      <c r="BV310"/>
      <c r="BW310"/>
      <c r="BX310"/>
      <c r="BY310"/>
      <c r="BZ310"/>
    </row>
    <row r="311" s="27" customFormat="1" customHeight="1" spans="10:78">
      <c r="J311" s="261"/>
      <c r="BE311"/>
      <c r="BF311"/>
      <c r="BG311"/>
      <c r="BH311"/>
      <c r="BI311"/>
      <c r="BJ311"/>
      <c r="BK311"/>
      <c r="BL311"/>
      <c r="BM311"/>
      <c r="BN311"/>
      <c r="BO311"/>
      <c r="BP311"/>
      <c r="BQ311"/>
      <c r="BR311"/>
      <c r="BS311"/>
      <c r="BT311"/>
      <c r="BU311"/>
      <c r="BV311"/>
      <c r="BW311"/>
      <c r="BX311"/>
      <c r="BY311"/>
      <c r="BZ311"/>
    </row>
    <row r="312" s="27" customFormat="1" customHeight="1" spans="10:78">
      <c r="J312" s="261"/>
      <c r="BE312"/>
      <c r="BF312"/>
      <c r="BG312"/>
      <c r="BH312"/>
      <c r="BI312"/>
      <c r="BJ312"/>
      <c r="BK312"/>
      <c r="BL312"/>
      <c r="BM312"/>
      <c r="BN312"/>
      <c r="BO312"/>
      <c r="BP312"/>
      <c r="BQ312"/>
      <c r="BR312"/>
      <c r="BS312"/>
      <c r="BT312"/>
      <c r="BU312"/>
      <c r="BV312"/>
      <c r="BW312"/>
      <c r="BX312"/>
      <c r="BY312"/>
      <c r="BZ312"/>
    </row>
    <row r="313" s="27" customFormat="1" customHeight="1" spans="10:78">
      <c r="J313" s="261"/>
      <c r="BE313"/>
      <c r="BF313"/>
      <c r="BG313"/>
      <c r="BH313"/>
      <c r="BI313"/>
      <c r="BJ313"/>
      <c r="BK313"/>
      <c r="BL313"/>
      <c r="BM313"/>
      <c r="BN313"/>
      <c r="BO313"/>
      <c r="BP313"/>
      <c r="BQ313"/>
      <c r="BR313"/>
      <c r="BS313"/>
      <c r="BT313"/>
      <c r="BU313"/>
      <c r="BV313"/>
      <c r="BW313"/>
      <c r="BX313"/>
      <c r="BY313"/>
      <c r="BZ313"/>
    </row>
    <row r="314" s="27" customFormat="1" customHeight="1" spans="10:78">
      <c r="J314" s="261"/>
      <c r="BE314"/>
      <c r="BF314"/>
      <c r="BG314"/>
      <c r="BH314"/>
      <c r="BI314"/>
      <c r="BJ314"/>
      <c r="BK314"/>
      <c r="BL314"/>
      <c r="BM314"/>
      <c r="BN314"/>
      <c r="BO314"/>
      <c r="BP314"/>
      <c r="BQ314"/>
      <c r="BR314"/>
      <c r="BS314"/>
      <c r="BT314"/>
      <c r="BU314"/>
      <c r="BV314"/>
      <c r="BW314"/>
      <c r="BX314"/>
      <c r="BY314"/>
      <c r="BZ314"/>
    </row>
    <row r="315" s="27" customFormat="1" customHeight="1" spans="10:78">
      <c r="J315" s="261"/>
      <c r="BE315"/>
      <c r="BF315"/>
      <c r="BG315"/>
      <c r="BH315"/>
      <c r="BI315"/>
      <c r="BJ315"/>
      <c r="BK315"/>
      <c r="BL315"/>
      <c r="BM315"/>
      <c r="BN315"/>
      <c r="BO315"/>
      <c r="BP315"/>
      <c r="BQ315"/>
      <c r="BR315"/>
      <c r="BS315"/>
      <c r="BT315"/>
      <c r="BU315"/>
      <c r="BV315"/>
      <c r="BW315"/>
      <c r="BX315"/>
      <c r="BY315"/>
      <c r="BZ315"/>
    </row>
    <row r="316" s="27" customFormat="1" customHeight="1" spans="10:78">
      <c r="J316" s="261"/>
      <c r="BE316"/>
      <c r="BF316"/>
      <c r="BG316"/>
      <c r="BH316"/>
      <c r="BI316"/>
      <c r="BJ316"/>
      <c r="BK316"/>
      <c r="BL316"/>
      <c r="BM316"/>
      <c r="BN316"/>
      <c r="BO316"/>
      <c r="BP316"/>
      <c r="BQ316"/>
      <c r="BR316"/>
      <c r="BS316"/>
      <c r="BT316"/>
      <c r="BU316"/>
      <c r="BV316"/>
      <c r="BW316"/>
      <c r="BX316"/>
      <c r="BY316"/>
      <c r="BZ316"/>
    </row>
    <row r="317" s="27" customFormat="1" customHeight="1" spans="10:78">
      <c r="J317" s="261"/>
      <c r="BE317"/>
      <c r="BF317"/>
      <c r="BG317"/>
      <c r="BH317"/>
      <c r="BI317"/>
      <c r="BJ317"/>
      <c r="BK317"/>
      <c r="BL317"/>
      <c r="BM317"/>
      <c r="BN317"/>
      <c r="BO317"/>
      <c r="BP317"/>
      <c r="BQ317"/>
      <c r="BR317"/>
      <c r="BS317"/>
      <c r="BT317"/>
      <c r="BU317"/>
      <c r="BV317"/>
      <c r="BW317"/>
      <c r="BX317"/>
      <c r="BY317"/>
      <c r="BZ317"/>
    </row>
    <row r="318" s="27" customFormat="1" customHeight="1" spans="10:78">
      <c r="J318" s="261"/>
      <c r="BE318"/>
      <c r="BF318"/>
      <c r="BG318"/>
      <c r="BH318"/>
      <c r="BI318"/>
      <c r="BJ318"/>
      <c r="BK318"/>
      <c r="BL318"/>
      <c r="BM318"/>
      <c r="BN318"/>
      <c r="BO318"/>
      <c r="BP318"/>
      <c r="BQ318"/>
      <c r="BR318"/>
      <c r="BS318"/>
      <c r="BT318"/>
      <c r="BU318"/>
      <c r="BV318"/>
      <c r="BW318"/>
      <c r="BX318"/>
      <c r="BY318"/>
      <c r="BZ318"/>
    </row>
    <row r="319" s="27" customFormat="1" customHeight="1" spans="10:78">
      <c r="J319" s="261"/>
      <c r="BE319"/>
      <c r="BF319"/>
      <c r="BG319"/>
      <c r="BH319"/>
      <c r="BI319"/>
      <c r="BJ319"/>
      <c r="BK319"/>
      <c r="BL319"/>
      <c r="BM319"/>
      <c r="BN319"/>
      <c r="BO319"/>
      <c r="BP319"/>
      <c r="BQ319"/>
      <c r="BR319"/>
      <c r="BS319"/>
      <c r="BT319"/>
      <c r="BU319"/>
      <c r="BV319"/>
      <c r="BW319"/>
      <c r="BX319"/>
      <c r="BY319"/>
      <c r="BZ319"/>
    </row>
    <row r="320" s="27" customFormat="1" customHeight="1" spans="10:78">
      <c r="J320" s="261"/>
      <c r="BE320"/>
      <c r="BF320"/>
      <c r="BG320"/>
      <c r="BH320"/>
      <c r="BI320"/>
      <c r="BJ320"/>
      <c r="BK320"/>
      <c r="BL320"/>
      <c r="BM320"/>
      <c r="BN320"/>
      <c r="BO320"/>
      <c r="BP320"/>
      <c r="BQ320"/>
      <c r="BR320"/>
      <c r="BS320"/>
      <c r="BT320"/>
      <c r="BU320"/>
      <c r="BV320"/>
      <c r="BW320"/>
      <c r="BX320"/>
      <c r="BY320"/>
      <c r="BZ320"/>
    </row>
    <row r="321" s="27" customFormat="1" customHeight="1" spans="10:78">
      <c r="J321" s="261"/>
      <c r="BE321"/>
      <c r="BF321"/>
      <c r="BG321"/>
      <c r="BH321"/>
      <c r="BI321"/>
      <c r="BJ321"/>
      <c r="BK321"/>
      <c r="BL321"/>
      <c r="BM321"/>
      <c r="BN321"/>
      <c r="BO321"/>
      <c r="BP321"/>
      <c r="BQ321"/>
      <c r="BR321"/>
      <c r="BS321"/>
      <c r="BT321"/>
      <c r="BU321"/>
      <c r="BV321"/>
      <c r="BW321"/>
      <c r="BX321"/>
      <c r="BY321"/>
      <c r="BZ321"/>
    </row>
    <row r="322" s="27" customFormat="1" customHeight="1" spans="10:78">
      <c r="J322" s="261"/>
      <c r="BE322"/>
      <c r="BF322"/>
      <c r="BG322"/>
      <c r="BH322"/>
      <c r="BI322"/>
      <c r="BJ322"/>
      <c r="BK322"/>
      <c r="BL322"/>
      <c r="BM322"/>
      <c r="BN322"/>
      <c r="BO322"/>
      <c r="BP322"/>
      <c r="BQ322"/>
      <c r="BR322"/>
      <c r="BS322"/>
      <c r="BT322"/>
      <c r="BU322"/>
      <c r="BV322"/>
      <c r="BW322"/>
      <c r="BX322"/>
      <c r="BY322"/>
      <c r="BZ322"/>
    </row>
    <row r="323" s="27" customFormat="1" customHeight="1" spans="10:78">
      <c r="J323" s="261"/>
      <c r="BE323"/>
      <c r="BF323"/>
      <c r="BG323"/>
      <c r="BH323"/>
      <c r="BI323"/>
      <c r="BJ323"/>
      <c r="BK323"/>
      <c r="BL323"/>
      <c r="BM323"/>
      <c r="BN323"/>
      <c r="BO323"/>
      <c r="BP323"/>
      <c r="BQ323"/>
      <c r="BR323"/>
      <c r="BS323"/>
      <c r="BT323"/>
      <c r="BU323"/>
      <c r="BV323"/>
      <c r="BW323"/>
      <c r="BX323"/>
      <c r="BY323"/>
      <c r="BZ323"/>
    </row>
    <row r="324" s="27" customFormat="1" customHeight="1" spans="10:78">
      <c r="J324" s="261"/>
      <c r="BE324"/>
      <c r="BF324"/>
      <c r="BG324"/>
      <c r="BH324"/>
      <c r="BI324"/>
      <c r="BJ324"/>
      <c r="BK324"/>
      <c r="BL324"/>
      <c r="BM324"/>
      <c r="BN324"/>
      <c r="BO324"/>
      <c r="BP324"/>
      <c r="BQ324"/>
      <c r="BR324"/>
      <c r="BS324"/>
      <c r="BT324"/>
      <c r="BU324"/>
      <c r="BV324"/>
      <c r="BW324"/>
      <c r="BX324"/>
      <c r="BY324"/>
      <c r="BZ324"/>
    </row>
    <row r="325" s="27" customFormat="1" customHeight="1" spans="10:78">
      <c r="J325" s="261"/>
      <c r="BE325"/>
      <c r="BF325"/>
      <c r="BG325"/>
      <c r="BH325"/>
      <c r="BI325"/>
      <c r="BJ325"/>
      <c r="BK325"/>
      <c r="BL325"/>
      <c r="BM325"/>
      <c r="BN325"/>
      <c r="BO325"/>
      <c r="BP325"/>
      <c r="BQ325"/>
      <c r="BR325"/>
      <c r="BS325"/>
      <c r="BT325"/>
      <c r="BU325"/>
      <c r="BV325"/>
      <c r="BW325"/>
      <c r="BX325"/>
      <c r="BY325"/>
      <c r="BZ325"/>
    </row>
    <row r="326" s="27" customFormat="1" customHeight="1" spans="10:78">
      <c r="J326" s="261"/>
      <c r="BE326"/>
      <c r="BF326"/>
      <c r="BG326"/>
      <c r="BH326"/>
      <c r="BI326"/>
      <c r="BJ326"/>
      <c r="BK326"/>
      <c r="BL326"/>
      <c r="BM326"/>
      <c r="BN326"/>
      <c r="BO326"/>
      <c r="BP326"/>
      <c r="BQ326"/>
      <c r="BR326"/>
      <c r="BS326"/>
      <c r="BT326"/>
      <c r="BU326"/>
      <c r="BV326"/>
      <c r="BW326"/>
      <c r="BX326"/>
      <c r="BY326"/>
      <c r="BZ326"/>
    </row>
    <row r="327" s="27" customFormat="1" customHeight="1" spans="10:78">
      <c r="J327" s="261"/>
      <c r="BE327"/>
      <c r="BF327"/>
      <c r="BG327"/>
      <c r="BH327"/>
      <c r="BI327"/>
      <c r="BJ327"/>
      <c r="BK327"/>
      <c r="BL327"/>
      <c r="BM327"/>
      <c r="BN327"/>
      <c r="BO327"/>
      <c r="BP327"/>
      <c r="BQ327"/>
      <c r="BR327"/>
      <c r="BS327"/>
      <c r="BT327"/>
      <c r="BU327"/>
      <c r="BV327"/>
      <c r="BW327"/>
      <c r="BX327"/>
      <c r="BY327"/>
      <c r="BZ327"/>
    </row>
    <row r="328" s="27" customFormat="1" customHeight="1" spans="10:78">
      <c r="J328" s="261"/>
      <c r="BE328"/>
      <c r="BF328"/>
      <c r="BG328"/>
      <c r="BH328"/>
      <c r="BI328"/>
      <c r="BJ328"/>
      <c r="BK328"/>
      <c r="BL328"/>
      <c r="BM328"/>
      <c r="BN328"/>
      <c r="BO328"/>
      <c r="BP328"/>
      <c r="BQ328"/>
      <c r="BR328"/>
      <c r="BS328"/>
      <c r="BT328"/>
      <c r="BU328"/>
      <c r="BV328"/>
      <c r="BW328"/>
      <c r="BX328"/>
      <c r="BY328"/>
      <c r="BZ328"/>
    </row>
    <row r="329" s="27" customFormat="1" customHeight="1" spans="10:78">
      <c r="J329" s="261"/>
      <c r="BE329"/>
      <c r="BF329"/>
      <c r="BG329"/>
      <c r="BH329"/>
      <c r="BI329"/>
      <c r="BJ329"/>
      <c r="BK329"/>
      <c r="BL329"/>
      <c r="BM329"/>
      <c r="BN329"/>
      <c r="BO329"/>
      <c r="BP329"/>
      <c r="BQ329"/>
      <c r="BR329"/>
      <c r="BS329"/>
      <c r="BT329"/>
      <c r="BU329"/>
      <c r="BV329"/>
      <c r="BW329"/>
      <c r="BX329"/>
      <c r="BY329"/>
      <c r="BZ329"/>
    </row>
    <row r="330" s="27" customFormat="1" customHeight="1" spans="10:78">
      <c r="J330" s="261"/>
      <c r="BE330"/>
      <c r="BF330"/>
      <c r="BG330"/>
      <c r="BH330"/>
      <c r="BI330"/>
      <c r="BJ330"/>
      <c r="BK330"/>
      <c r="BL330"/>
      <c r="BM330"/>
      <c r="BN330"/>
      <c r="BO330"/>
      <c r="BP330"/>
      <c r="BQ330"/>
      <c r="BR330"/>
      <c r="BS330"/>
      <c r="BT330"/>
      <c r="BU330"/>
      <c r="BV330"/>
      <c r="BW330"/>
      <c r="BX330"/>
      <c r="BY330"/>
      <c r="BZ330"/>
    </row>
    <row r="331" s="27" customFormat="1" customHeight="1" spans="10:78">
      <c r="J331" s="261"/>
      <c r="BE331"/>
      <c r="BF331"/>
      <c r="BG331"/>
      <c r="BH331"/>
      <c r="BI331"/>
      <c r="BJ331"/>
      <c r="BK331"/>
      <c r="BL331"/>
      <c r="BM331"/>
      <c r="BN331"/>
      <c r="BO331"/>
      <c r="BP331"/>
      <c r="BQ331"/>
      <c r="BR331"/>
      <c r="BS331"/>
      <c r="BT331"/>
      <c r="BU331"/>
      <c r="BV331"/>
      <c r="BW331"/>
      <c r="BX331"/>
      <c r="BY331"/>
      <c r="BZ331"/>
    </row>
    <row r="332" s="27" customFormat="1" customHeight="1" spans="10:78">
      <c r="J332" s="261"/>
      <c r="BE332"/>
      <c r="BF332"/>
      <c r="BG332"/>
      <c r="BH332"/>
      <c r="BI332"/>
      <c r="BJ332"/>
      <c r="BK332"/>
      <c r="BL332"/>
      <c r="BM332"/>
      <c r="BN332"/>
      <c r="BO332"/>
      <c r="BP332"/>
      <c r="BQ332"/>
      <c r="BR332"/>
      <c r="BS332"/>
      <c r="BT332"/>
      <c r="BU332"/>
      <c r="BV332"/>
      <c r="BW332"/>
      <c r="BX332"/>
      <c r="BY332"/>
      <c r="BZ332"/>
    </row>
    <row r="333" s="27" customFormat="1" customHeight="1" spans="10:78">
      <c r="J333" s="261"/>
      <c r="BE333"/>
      <c r="BF333"/>
      <c r="BG333"/>
      <c r="BH333"/>
      <c r="BI333"/>
      <c r="BJ333"/>
      <c r="BK333"/>
      <c r="BL333"/>
      <c r="BM333"/>
      <c r="BN333"/>
      <c r="BO333"/>
      <c r="BP333"/>
      <c r="BQ333"/>
      <c r="BR333"/>
      <c r="BS333"/>
      <c r="BT333"/>
      <c r="BU333"/>
      <c r="BV333"/>
      <c r="BW333"/>
      <c r="BX333"/>
      <c r="BY333"/>
      <c r="BZ333"/>
    </row>
    <row r="334" s="27" customFormat="1" customHeight="1" spans="10:78">
      <c r="J334" s="261"/>
      <c r="BE334"/>
      <c r="BF334"/>
      <c r="BG334"/>
      <c r="BH334"/>
      <c r="BI334"/>
      <c r="BJ334"/>
      <c r="BK334"/>
      <c r="BL334"/>
      <c r="BM334"/>
      <c r="BN334"/>
      <c r="BO334"/>
      <c r="BP334"/>
      <c r="BQ334"/>
      <c r="BR334"/>
      <c r="BS334"/>
      <c r="BT334"/>
      <c r="BU334"/>
      <c r="BV334"/>
      <c r="BW334"/>
      <c r="BX334"/>
      <c r="BY334"/>
      <c r="BZ334"/>
    </row>
    <row r="335" s="27" customFormat="1" customHeight="1" spans="10:78">
      <c r="J335" s="261"/>
      <c r="BE335"/>
      <c r="BF335"/>
      <c r="BG335"/>
      <c r="BH335"/>
      <c r="BI335"/>
      <c r="BJ335"/>
      <c r="BK335"/>
      <c r="BL335"/>
      <c r="BM335"/>
      <c r="BN335"/>
      <c r="BO335"/>
      <c r="BP335"/>
      <c r="BQ335"/>
      <c r="BR335"/>
      <c r="BS335"/>
      <c r="BT335"/>
      <c r="BU335"/>
      <c r="BV335"/>
      <c r="BW335"/>
      <c r="BX335"/>
      <c r="BY335"/>
      <c r="BZ335"/>
    </row>
    <row r="336" s="27" customFormat="1" customHeight="1" spans="10:78">
      <c r="J336" s="261"/>
      <c r="BE336"/>
      <c r="BF336"/>
      <c r="BG336"/>
      <c r="BH336"/>
      <c r="BI336"/>
      <c r="BJ336"/>
      <c r="BK336"/>
      <c r="BL336"/>
      <c r="BM336"/>
      <c r="BN336"/>
      <c r="BO336"/>
      <c r="BP336"/>
      <c r="BQ336"/>
      <c r="BR336"/>
      <c r="BS336"/>
      <c r="BT336"/>
      <c r="BU336"/>
      <c r="BV336"/>
      <c r="BW336"/>
      <c r="BX336"/>
      <c r="BY336"/>
      <c r="BZ336"/>
    </row>
    <row r="337" s="27" customFormat="1" customHeight="1" spans="10:78">
      <c r="J337" s="261"/>
      <c r="BE337"/>
      <c r="BF337"/>
      <c r="BG337"/>
      <c r="BH337"/>
      <c r="BI337"/>
      <c r="BJ337"/>
      <c r="BK337"/>
      <c r="BL337"/>
      <c r="BM337"/>
      <c r="BN337"/>
      <c r="BO337"/>
      <c r="BP337"/>
      <c r="BQ337"/>
      <c r="BR337"/>
      <c r="BS337"/>
      <c r="BT337"/>
      <c r="BU337"/>
      <c r="BV337"/>
      <c r="BW337"/>
      <c r="BX337"/>
      <c r="BY337"/>
      <c r="BZ337"/>
    </row>
    <row r="338" s="27" customFormat="1" customHeight="1" spans="10:78">
      <c r="J338" s="261"/>
      <c r="BE338"/>
      <c r="BF338"/>
      <c r="BG338"/>
      <c r="BH338"/>
      <c r="BI338"/>
      <c r="BJ338"/>
      <c r="BK338"/>
      <c r="BL338"/>
      <c r="BM338"/>
      <c r="BN338"/>
      <c r="BO338"/>
      <c r="BP338"/>
      <c r="BQ338"/>
      <c r="BR338"/>
      <c r="BS338"/>
      <c r="BT338"/>
      <c r="BU338"/>
      <c r="BV338"/>
      <c r="BW338"/>
      <c r="BX338"/>
      <c r="BY338"/>
      <c r="BZ338"/>
    </row>
    <row r="339" s="27" customFormat="1" customHeight="1" spans="10:78">
      <c r="J339" s="261"/>
      <c r="BE339"/>
      <c r="BF339"/>
      <c r="BG339"/>
      <c r="BH339"/>
      <c r="BI339"/>
      <c r="BJ339"/>
      <c r="BK339"/>
      <c r="BL339"/>
      <c r="BM339"/>
      <c r="BN339"/>
      <c r="BO339"/>
      <c r="BP339"/>
      <c r="BQ339"/>
      <c r="BR339"/>
      <c r="BS339"/>
      <c r="BT339"/>
      <c r="BU339"/>
      <c r="BV339"/>
      <c r="BW339"/>
      <c r="BX339"/>
      <c r="BY339"/>
      <c r="BZ339"/>
    </row>
    <row r="340" s="27" customFormat="1" customHeight="1" spans="10:78">
      <c r="J340" s="261"/>
      <c r="BE340"/>
      <c r="BF340"/>
      <c r="BG340"/>
      <c r="BH340"/>
      <c r="BI340"/>
      <c r="BJ340"/>
      <c r="BK340"/>
      <c r="BL340"/>
      <c r="BM340"/>
      <c r="BN340"/>
      <c r="BO340"/>
      <c r="BP340"/>
      <c r="BQ340"/>
      <c r="BR340"/>
      <c r="BS340"/>
      <c r="BT340"/>
      <c r="BU340"/>
      <c r="BV340"/>
      <c r="BW340"/>
      <c r="BX340"/>
      <c r="BY340"/>
      <c r="BZ340"/>
    </row>
    <row r="392" s="27" customFormat="1" customHeight="1" spans="10:78">
      <c r="J392" s="261"/>
      <c r="BE392"/>
      <c r="BF392"/>
      <c r="BG392"/>
      <c r="BH392"/>
      <c r="BI392"/>
      <c r="BJ392"/>
      <c r="BK392"/>
      <c r="BL392"/>
      <c r="BM392"/>
      <c r="BN392"/>
      <c r="BO392"/>
      <c r="BP392"/>
      <c r="BQ392"/>
      <c r="BR392"/>
      <c r="BS392"/>
      <c r="BT392"/>
      <c r="BU392"/>
      <c r="BV392"/>
      <c r="BW392"/>
      <c r="BX392"/>
      <c r="BY392"/>
      <c r="BZ392"/>
    </row>
    <row r="393" s="27" customFormat="1" customHeight="1" spans="10:78">
      <c r="J393" s="261"/>
      <c r="BE393"/>
      <c r="BF393"/>
      <c r="BG393"/>
      <c r="BH393"/>
      <c r="BI393"/>
      <c r="BJ393"/>
      <c r="BK393"/>
      <c r="BL393"/>
      <c r="BM393"/>
      <c r="BN393"/>
      <c r="BO393"/>
      <c r="BP393"/>
      <c r="BQ393"/>
      <c r="BR393"/>
      <c r="BS393"/>
      <c r="BT393"/>
      <c r="BU393"/>
      <c r="BV393"/>
      <c r="BW393"/>
      <c r="BX393"/>
      <c r="BY393"/>
      <c r="BZ393"/>
    </row>
    <row r="394" s="27" customFormat="1" customHeight="1" spans="10:78">
      <c r="J394" s="261"/>
      <c r="BE394"/>
      <c r="BF394"/>
      <c r="BG394"/>
      <c r="BH394"/>
      <c r="BI394"/>
      <c r="BJ394"/>
      <c r="BK394"/>
      <c r="BL394"/>
      <c r="BM394"/>
      <c r="BN394"/>
      <c r="BO394"/>
      <c r="BP394"/>
      <c r="BQ394"/>
      <c r="BR394"/>
      <c r="BS394"/>
      <c r="BT394"/>
      <c r="BU394"/>
      <c r="BV394"/>
      <c r="BW394"/>
      <c r="BX394"/>
      <c r="BY394"/>
      <c r="BZ394"/>
    </row>
    <row r="395" s="27" customFormat="1" customHeight="1" spans="10:78">
      <c r="J395" s="261"/>
      <c r="BE395"/>
      <c r="BF395"/>
      <c r="BG395"/>
      <c r="BH395"/>
      <c r="BI395"/>
      <c r="BJ395"/>
      <c r="BK395"/>
      <c r="BL395"/>
      <c r="BM395"/>
      <c r="BN395"/>
      <c r="BO395"/>
      <c r="BP395"/>
      <c r="BQ395"/>
      <c r="BR395"/>
      <c r="BS395"/>
      <c r="BT395"/>
      <c r="BU395"/>
      <c r="BV395"/>
      <c r="BW395"/>
      <c r="BX395"/>
      <c r="BY395"/>
      <c r="BZ395"/>
    </row>
    <row r="396" s="27" customFormat="1" customHeight="1" spans="10:78">
      <c r="J396" s="261"/>
      <c r="BE396"/>
      <c r="BF396"/>
      <c r="BG396"/>
      <c r="BH396"/>
      <c r="BI396"/>
      <c r="BJ396"/>
      <c r="BK396"/>
      <c r="BL396"/>
      <c r="BM396"/>
      <c r="BN396"/>
      <c r="BO396"/>
      <c r="BP396"/>
      <c r="BQ396"/>
      <c r="BR396"/>
      <c r="BS396"/>
      <c r="BT396"/>
      <c r="BU396"/>
      <c r="BV396"/>
      <c r="BW396"/>
      <c r="BX396"/>
      <c r="BY396"/>
      <c r="BZ396"/>
    </row>
    <row r="397" s="27" customFormat="1" customHeight="1" spans="10:78">
      <c r="J397" s="261"/>
      <c r="BE397"/>
      <c r="BF397"/>
      <c r="BG397"/>
      <c r="BH397"/>
      <c r="BI397"/>
      <c r="BJ397"/>
      <c r="BK397"/>
      <c r="BL397"/>
      <c r="BM397"/>
      <c r="BN397"/>
      <c r="BO397"/>
      <c r="BP397"/>
      <c r="BQ397"/>
      <c r="BR397"/>
      <c r="BS397"/>
      <c r="BT397"/>
      <c r="BU397"/>
      <c r="BV397"/>
      <c r="BW397"/>
      <c r="BX397"/>
      <c r="BY397"/>
      <c r="BZ397"/>
    </row>
    <row r="398" s="27" customFormat="1" customHeight="1" spans="10:78">
      <c r="J398" s="261"/>
      <c r="BE398"/>
      <c r="BF398"/>
      <c r="BG398"/>
      <c r="BH398"/>
      <c r="BI398"/>
      <c r="BJ398"/>
      <c r="BK398"/>
      <c r="BL398"/>
      <c r="BM398"/>
      <c r="BN398"/>
      <c r="BO398"/>
      <c r="BP398"/>
      <c r="BQ398"/>
      <c r="BR398"/>
      <c r="BS398"/>
      <c r="BT398"/>
      <c r="BU398"/>
      <c r="BV398"/>
      <c r="BW398"/>
      <c r="BX398"/>
      <c r="BY398"/>
      <c r="BZ398"/>
    </row>
    <row r="399" s="27" customFormat="1" customHeight="1" spans="10:78">
      <c r="J399" s="261"/>
      <c r="BE399"/>
      <c r="BF399"/>
      <c r="BG399"/>
      <c r="BH399"/>
      <c r="BI399"/>
      <c r="BJ399"/>
      <c r="BK399"/>
      <c r="BL399"/>
      <c r="BM399"/>
      <c r="BN399"/>
      <c r="BO399"/>
      <c r="BP399"/>
      <c r="BQ399"/>
      <c r="BR399"/>
      <c r="BS399"/>
      <c r="BT399"/>
      <c r="BU399"/>
      <c r="BV399"/>
      <c r="BW399"/>
      <c r="BX399"/>
      <c r="BY399"/>
      <c r="BZ399"/>
    </row>
    <row r="400" s="27" customFormat="1" customHeight="1" spans="10:78">
      <c r="J400" s="261"/>
      <c r="BE400"/>
      <c r="BF400"/>
      <c r="BG400"/>
      <c r="BH400"/>
      <c r="BI400"/>
      <c r="BJ400"/>
      <c r="BK400"/>
      <c r="BL400"/>
      <c r="BM400"/>
      <c r="BN400"/>
      <c r="BO400"/>
      <c r="BP400"/>
      <c r="BQ400"/>
      <c r="BR400"/>
      <c r="BS400"/>
      <c r="BT400"/>
      <c r="BU400"/>
      <c r="BV400"/>
      <c r="BW400"/>
      <c r="BX400"/>
      <c r="BY400"/>
      <c r="BZ400"/>
    </row>
    <row r="401" s="27" customFormat="1" customHeight="1" spans="10:78">
      <c r="J401" s="261"/>
      <c r="BE401"/>
      <c r="BF401"/>
      <c r="BG401"/>
      <c r="BH401"/>
      <c r="BI401"/>
      <c r="BJ401"/>
      <c r="BK401"/>
      <c r="BL401"/>
      <c r="BM401"/>
      <c r="BN401"/>
      <c r="BO401"/>
      <c r="BP401"/>
      <c r="BQ401"/>
      <c r="BR401"/>
      <c r="BS401"/>
      <c r="BT401"/>
      <c r="BU401"/>
      <c r="BV401"/>
      <c r="BW401"/>
      <c r="BX401"/>
      <c r="BY401"/>
      <c r="BZ401"/>
    </row>
    <row r="402" s="27" customFormat="1" customHeight="1" spans="10:78">
      <c r="J402" s="261"/>
      <c r="BE402"/>
      <c r="BF402"/>
      <c r="BG402"/>
      <c r="BH402"/>
      <c r="BI402"/>
      <c r="BJ402"/>
      <c r="BK402"/>
      <c r="BL402"/>
      <c r="BM402"/>
      <c r="BN402"/>
      <c r="BO402"/>
      <c r="BP402"/>
      <c r="BQ402"/>
      <c r="BR402"/>
      <c r="BS402"/>
      <c r="BT402"/>
      <c r="BU402"/>
      <c r="BV402"/>
      <c r="BW402"/>
      <c r="BX402"/>
      <c r="BY402"/>
      <c r="BZ402"/>
    </row>
    <row r="403" s="27" customFormat="1" customHeight="1" spans="10:78">
      <c r="J403" s="261"/>
      <c r="AY403" s="11"/>
      <c r="AZ403" s="11"/>
      <c r="BA403" s="262"/>
      <c r="BB403" s="262"/>
      <c r="BC403" s="262"/>
      <c r="BD403" s="262"/>
      <c r="BE403"/>
      <c r="BF403"/>
      <c r="BG403"/>
      <c r="BH403"/>
      <c r="BI403"/>
      <c r="BJ403"/>
      <c r="BK403"/>
      <c r="BL403"/>
      <c r="BM403"/>
      <c r="BN403"/>
      <c r="BO403"/>
      <c r="BP403"/>
      <c r="BQ403"/>
      <c r="BR403"/>
      <c r="BS403"/>
      <c r="BT403"/>
      <c r="BU403"/>
      <c r="BV403"/>
      <c r="BW403"/>
      <c r="BX403"/>
      <c r="BY403"/>
      <c r="BZ403"/>
    </row>
    <row r="404" s="27" customFormat="1" customHeight="1" spans="10:78">
      <c r="J404" s="261"/>
      <c r="AY404" s="11"/>
      <c r="AZ404" s="11"/>
      <c r="BA404" s="262"/>
      <c r="BB404" s="262"/>
      <c r="BC404" s="262"/>
      <c r="BD404" s="262"/>
      <c r="BE404"/>
      <c r="BF404"/>
      <c r="BG404"/>
      <c r="BH404"/>
      <c r="BI404"/>
      <c r="BJ404"/>
      <c r="BK404"/>
      <c r="BL404"/>
      <c r="BM404"/>
      <c r="BN404"/>
      <c r="BO404"/>
      <c r="BP404"/>
      <c r="BQ404"/>
      <c r="BR404"/>
      <c r="BS404"/>
      <c r="BT404"/>
      <c r="BU404"/>
      <c r="BV404"/>
      <c r="BW404"/>
      <c r="BX404"/>
      <c r="BY404"/>
      <c r="BZ404"/>
    </row>
    <row r="405" s="27" customFormat="1" customHeight="1" spans="10:78">
      <c r="J405" s="261"/>
      <c r="AY405" s="11"/>
      <c r="AZ405" s="11"/>
      <c r="BA405" s="262"/>
      <c r="BB405" s="262"/>
      <c r="BC405" s="262"/>
      <c r="BD405" s="262"/>
      <c r="BE405"/>
      <c r="BF405"/>
      <c r="BG405"/>
      <c r="BH405"/>
      <c r="BI405"/>
      <c r="BJ405"/>
      <c r="BK405"/>
      <c r="BL405"/>
      <c r="BM405"/>
      <c r="BN405"/>
      <c r="BO405"/>
      <c r="BP405"/>
      <c r="BQ405"/>
      <c r="BR405"/>
      <c r="BS405"/>
      <c r="BT405"/>
      <c r="BU405"/>
      <c r="BV405"/>
      <c r="BW405"/>
      <c r="BX405"/>
      <c r="BY405"/>
      <c r="BZ405"/>
    </row>
    <row r="406" s="27" customFormat="1" customHeight="1" spans="10:78">
      <c r="J406" s="261"/>
      <c r="AY406" s="11"/>
      <c r="AZ406" s="11"/>
      <c r="BA406" s="262"/>
      <c r="BB406" s="262"/>
      <c r="BC406" s="262"/>
      <c r="BD406" s="262"/>
      <c r="BE406"/>
      <c r="BF406"/>
      <c r="BG406"/>
      <c r="BH406"/>
      <c r="BI406"/>
      <c r="BJ406"/>
      <c r="BK406"/>
      <c r="BL406"/>
      <c r="BM406"/>
      <c r="BN406"/>
      <c r="BO406"/>
      <c r="BP406"/>
      <c r="BQ406"/>
      <c r="BR406"/>
      <c r="BS406"/>
      <c r="BT406"/>
      <c r="BU406"/>
      <c r="BV406"/>
      <c r="BW406"/>
      <c r="BX406"/>
      <c r="BY406"/>
      <c r="BZ406"/>
    </row>
    <row r="407" s="27" customFormat="1" customHeight="1" spans="10:78">
      <c r="J407" s="261"/>
      <c r="AY407" s="11"/>
      <c r="AZ407" s="11"/>
      <c r="BA407" s="262"/>
      <c r="BB407" s="262"/>
      <c r="BC407" s="262"/>
      <c r="BD407" s="262"/>
      <c r="BE407"/>
      <c r="BF407"/>
      <c r="BG407"/>
      <c r="BH407"/>
      <c r="BI407"/>
      <c r="BJ407"/>
      <c r="BK407"/>
      <c r="BL407"/>
      <c r="BM407"/>
      <c r="BN407"/>
      <c r="BO407"/>
      <c r="BP407"/>
      <c r="BQ407"/>
      <c r="BR407"/>
      <c r="BS407"/>
      <c r="BT407"/>
      <c r="BU407"/>
      <c r="BV407"/>
      <c r="BW407"/>
      <c r="BX407"/>
      <c r="BY407"/>
      <c r="BZ407"/>
    </row>
    <row r="408" s="27" customFormat="1" customHeight="1" spans="10:78">
      <c r="J408" s="261"/>
      <c r="AY408" s="11"/>
      <c r="AZ408" s="11"/>
      <c r="BA408" s="262"/>
      <c r="BB408" s="262"/>
      <c r="BC408" s="262"/>
      <c r="BD408" s="262"/>
      <c r="BE408"/>
      <c r="BF408"/>
      <c r="BG408"/>
      <c r="BH408"/>
      <c r="BI408"/>
      <c r="BJ408"/>
      <c r="BK408"/>
      <c r="BL408"/>
      <c r="BM408"/>
      <c r="BN408"/>
      <c r="BO408"/>
      <c r="BP408"/>
      <c r="BQ408"/>
      <c r="BR408"/>
      <c r="BS408"/>
      <c r="BT408"/>
      <c r="BU408"/>
      <c r="BV408"/>
      <c r="BW408"/>
      <c r="BX408"/>
      <c r="BY408"/>
      <c r="BZ408"/>
    </row>
    <row r="409" s="27" customFormat="1" customHeight="1" spans="10:78">
      <c r="J409" s="261"/>
      <c r="AY409" s="11"/>
      <c r="AZ409" s="11"/>
      <c r="BA409" s="262"/>
      <c r="BB409" s="262"/>
      <c r="BC409" s="262"/>
      <c r="BD409" s="262"/>
      <c r="BE409"/>
      <c r="BF409"/>
      <c r="BG409"/>
      <c r="BH409"/>
      <c r="BI409"/>
      <c r="BJ409"/>
      <c r="BK409"/>
      <c r="BL409"/>
      <c r="BM409"/>
      <c r="BN409"/>
      <c r="BO409"/>
      <c r="BP409"/>
      <c r="BQ409"/>
      <c r="BR409"/>
      <c r="BS409"/>
      <c r="BT409"/>
      <c r="BU409"/>
      <c r="BV409"/>
      <c r="BW409"/>
      <c r="BX409"/>
      <c r="BY409"/>
      <c r="BZ409"/>
    </row>
    <row r="410" s="27" customFormat="1" customHeight="1" spans="10:78">
      <c r="J410" s="261"/>
      <c r="AY410" s="11"/>
      <c r="AZ410" s="11"/>
      <c r="BA410" s="262"/>
      <c r="BB410" s="262"/>
      <c r="BC410" s="262"/>
      <c r="BD410" s="262"/>
      <c r="BE410"/>
      <c r="BF410"/>
      <c r="BG410"/>
      <c r="BH410"/>
      <c r="BI410"/>
      <c r="BJ410"/>
      <c r="BK410"/>
      <c r="BL410"/>
      <c r="BM410"/>
      <c r="BN410"/>
      <c r="BO410"/>
      <c r="BP410"/>
      <c r="BQ410"/>
      <c r="BR410"/>
      <c r="BS410"/>
      <c r="BT410"/>
      <c r="BU410"/>
      <c r="BV410"/>
      <c r="BW410"/>
      <c r="BX410"/>
      <c r="BY410"/>
      <c r="BZ410"/>
    </row>
    <row r="411" s="27" customFormat="1" customHeight="1" spans="10:78">
      <c r="J411" s="261"/>
      <c r="AY411" s="11"/>
      <c r="AZ411" s="11"/>
      <c r="BA411" s="262"/>
      <c r="BB411" s="262"/>
      <c r="BC411" s="262"/>
      <c r="BD411" s="262"/>
      <c r="BE411"/>
      <c r="BF411"/>
      <c r="BG411"/>
      <c r="BH411"/>
      <c r="BI411"/>
      <c r="BJ411"/>
      <c r="BK411"/>
      <c r="BL411"/>
      <c r="BM411"/>
      <c r="BN411"/>
      <c r="BO411"/>
      <c r="BP411"/>
      <c r="BQ411"/>
      <c r="BR411"/>
      <c r="BS411"/>
      <c r="BT411"/>
      <c r="BU411"/>
      <c r="BV411"/>
      <c r="BW411"/>
      <c r="BX411"/>
      <c r="BY411"/>
      <c r="BZ411"/>
    </row>
    <row r="412" s="27" customFormat="1" customHeight="1" spans="10:78">
      <c r="J412" s="261"/>
      <c r="AY412" s="11"/>
      <c r="AZ412" s="11"/>
      <c r="BA412" s="262"/>
      <c r="BB412" s="262"/>
      <c r="BC412" s="262"/>
      <c r="BD412" s="262"/>
      <c r="BE412"/>
      <c r="BF412"/>
      <c r="BG412"/>
      <c r="BH412"/>
      <c r="BI412"/>
      <c r="BJ412"/>
      <c r="BK412"/>
      <c r="BL412"/>
      <c r="BM412"/>
      <c r="BN412"/>
      <c r="BO412"/>
      <c r="BP412"/>
      <c r="BQ412"/>
      <c r="BR412"/>
      <c r="BS412"/>
      <c r="BT412"/>
      <c r="BU412"/>
      <c r="BV412"/>
      <c r="BW412"/>
      <c r="BX412"/>
      <c r="BY412"/>
      <c r="BZ412"/>
    </row>
    <row r="413" s="27" customFormat="1" customHeight="1" spans="10:78">
      <c r="J413" s="261"/>
      <c r="AY413" s="11"/>
      <c r="AZ413" s="11"/>
      <c r="BA413" s="262"/>
      <c r="BB413" s="262"/>
      <c r="BC413" s="262"/>
      <c r="BD413" s="262"/>
      <c r="BE413"/>
      <c r="BF413"/>
      <c r="BG413"/>
      <c r="BH413"/>
      <c r="BI413"/>
      <c r="BJ413"/>
      <c r="BK413"/>
      <c r="BL413"/>
      <c r="BM413"/>
      <c r="BN413"/>
      <c r="BO413"/>
      <c r="BP413"/>
      <c r="BQ413"/>
      <c r="BR413"/>
      <c r="BS413"/>
      <c r="BT413"/>
      <c r="BU413"/>
      <c r="BV413"/>
      <c r="BW413"/>
      <c r="BX413"/>
      <c r="BY413"/>
      <c r="BZ413"/>
    </row>
    <row r="414" s="27" customFormat="1" customHeight="1" spans="10:78">
      <c r="J414" s="261"/>
      <c r="AY414" s="11"/>
      <c r="AZ414" s="11"/>
      <c r="BA414" s="262"/>
      <c r="BB414" s="262"/>
      <c r="BC414" s="262"/>
      <c r="BD414" s="262"/>
      <c r="BE414"/>
      <c r="BF414"/>
      <c r="BG414"/>
      <c r="BH414"/>
      <c r="BI414"/>
      <c r="BJ414"/>
      <c r="BK414"/>
      <c r="BL414"/>
      <c r="BM414"/>
      <c r="BN414"/>
      <c r="BO414"/>
      <c r="BP414"/>
      <c r="BQ414"/>
      <c r="BR414"/>
      <c r="BS414"/>
      <c r="BT414"/>
      <c r="BU414"/>
      <c r="BV414"/>
      <c r="BW414"/>
      <c r="BX414"/>
      <c r="BY414"/>
      <c r="BZ414"/>
    </row>
    <row r="415" s="27" customFormat="1" customHeight="1" spans="10:78">
      <c r="J415" s="261"/>
      <c r="AY415" s="11"/>
      <c r="AZ415" s="11"/>
      <c r="BA415" s="262"/>
      <c r="BB415" s="262"/>
      <c r="BC415" s="262"/>
      <c r="BD415" s="262"/>
      <c r="BE415"/>
      <c r="BF415"/>
      <c r="BG415"/>
      <c r="BH415"/>
      <c r="BI415"/>
      <c r="BJ415"/>
      <c r="BK415"/>
      <c r="BL415"/>
      <c r="BM415"/>
      <c r="BN415"/>
      <c r="BO415"/>
      <c r="BP415"/>
      <c r="BQ415"/>
      <c r="BR415"/>
      <c r="BS415"/>
      <c r="BT415"/>
      <c r="BU415"/>
      <c r="BV415"/>
      <c r="BW415"/>
      <c r="BX415"/>
      <c r="BY415"/>
      <c r="BZ415"/>
    </row>
    <row r="416" s="27" customFormat="1" customHeight="1" spans="10:78">
      <c r="J416" s="261"/>
      <c r="AY416" s="11"/>
      <c r="AZ416" s="11"/>
      <c r="BA416" s="262"/>
      <c r="BB416" s="262"/>
      <c r="BC416" s="262"/>
      <c r="BD416" s="262"/>
      <c r="BE416"/>
      <c r="BF416"/>
      <c r="BG416"/>
      <c r="BH416"/>
      <c r="BI416"/>
      <c r="BJ416"/>
      <c r="BK416"/>
      <c r="BL416"/>
      <c r="BM416"/>
      <c r="BN416"/>
      <c r="BO416"/>
      <c r="BP416"/>
      <c r="BQ416"/>
      <c r="BR416"/>
      <c r="BS416"/>
      <c r="BT416"/>
      <c r="BU416"/>
      <c r="BV416"/>
      <c r="BW416"/>
      <c r="BX416"/>
      <c r="BY416"/>
      <c r="BZ416"/>
    </row>
    <row r="417" s="27" customFormat="1" customHeight="1" spans="10:78">
      <c r="J417" s="261"/>
      <c r="AY417" s="11"/>
      <c r="AZ417" s="11"/>
      <c r="BA417" s="262"/>
      <c r="BB417" s="262"/>
      <c r="BC417" s="262"/>
      <c r="BD417" s="262"/>
      <c r="BE417"/>
      <c r="BF417"/>
      <c r="BG417"/>
      <c r="BH417"/>
      <c r="BI417"/>
      <c r="BJ417"/>
      <c r="BK417"/>
      <c r="BL417"/>
      <c r="BM417"/>
      <c r="BN417"/>
      <c r="BO417"/>
      <c r="BP417"/>
      <c r="BQ417"/>
      <c r="BR417"/>
      <c r="BS417"/>
      <c r="BT417"/>
      <c r="BU417"/>
      <c r="BV417"/>
      <c r="BW417"/>
      <c r="BX417"/>
      <c r="BY417"/>
      <c r="BZ417"/>
    </row>
    <row r="418" s="27" customFormat="1" customHeight="1" spans="10:78">
      <c r="J418" s="261"/>
      <c r="AY418" s="11"/>
      <c r="AZ418" s="11"/>
      <c r="BA418" s="262"/>
      <c r="BB418" s="262"/>
      <c r="BC418" s="262"/>
      <c r="BD418" s="262"/>
      <c r="BE418"/>
      <c r="BF418"/>
      <c r="BG418"/>
      <c r="BH418"/>
      <c r="BI418"/>
      <c r="BJ418"/>
      <c r="BK418"/>
      <c r="BL418"/>
      <c r="BM418"/>
      <c r="BN418"/>
      <c r="BO418"/>
      <c r="BP418"/>
      <c r="BQ418"/>
      <c r="BR418"/>
      <c r="BS418"/>
      <c r="BT418"/>
      <c r="BU418"/>
      <c r="BV418"/>
      <c r="BW418"/>
      <c r="BX418"/>
      <c r="BY418"/>
      <c r="BZ418"/>
    </row>
    <row r="419" s="27" customFormat="1" customHeight="1" spans="10:78">
      <c r="J419" s="261"/>
      <c r="AY419" s="11"/>
      <c r="AZ419" s="11"/>
      <c r="BA419" s="262"/>
      <c r="BB419" s="262"/>
      <c r="BC419" s="262"/>
      <c r="BD419" s="262"/>
      <c r="BE419"/>
      <c r="BF419"/>
      <c r="BG419"/>
      <c r="BH419"/>
      <c r="BI419"/>
      <c r="BJ419"/>
      <c r="BK419"/>
      <c r="BL419"/>
      <c r="BM419"/>
      <c r="BN419"/>
      <c r="BO419"/>
      <c r="BP419"/>
      <c r="BQ419"/>
      <c r="BR419"/>
      <c r="BS419"/>
      <c r="BT419"/>
      <c r="BU419"/>
      <c r="BV419"/>
      <c r="BW419"/>
      <c r="BX419"/>
      <c r="BY419"/>
      <c r="BZ419"/>
    </row>
    <row r="420" s="27" customFormat="1" customHeight="1" spans="10:78">
      <c r="J420" s="261"/>
      <c r="AY420" s="11"/>
      <c r="AZ420" s="11"/>
      <c r="BA420" s="262"/>
      <c r="BB420" s="262"/>
      <c r="BC420" s="262"/>
      <c r="BD420" s="262"/>
      <c r="BE420"/>
      <c r="BF420"/>
      <c r="BG420"/>
      <c r="BH420"/>
      <c r="BI420"/>
      <c r="BJ420"/>
      <c r="BK420"/>
      <c r="BL420"/>
      <c r="BM420"/>
      <c r="BN420"/>
      <c r="BO420"/>
      <c r="BP420"/>
      <c r="BQ420"/>
      <c r="BR420"/>
      <c r="BS420"/>
      <c r="BT420"/>
      <c r="BU420"/>
      <c r="BV420"/>
      <c r="BW420"/>
      <c r="BX420"/>
      <c r="BY420"/>
      <c r="BZ420"/>
    </row>
    <row r="421" s="27" customFormat="1" customHeight="1" spans="10:78">
      <c r="J421" s="261"/>
      <c r="AY421" s="11"/>
      <c r="AZ421" s="11"/>
      <c r="BA421" s="262"/>
      <c r="BB421" s="262"/>
      <c r="BC421" s="262"/>
      <c r="BD421" s="262"/>
      <c r="BE421"/>
      <c r="BF421"/>
      <c r="BG421"/>
      <c r="BH421"/>
      <c r="BI421"/>
      <c r="BJ421"/>
      <c r="BK421"/>
      <c r="BL421"/>
      <c r="BM421"/>
      <c r="BN421"/>
      <c r="BO421"/>
      <c r="BP421"/>
      <c r="BQ421"/>
      <c r="BR421"/>
      <c r="BS421"/>
      <c r="BT421"/>
      <c r="BU421"/>
      <c r="BV421"/>
      <c r="BW421"/>
      <c r="BX421"/>
      <c r="BY421"/>
      <c r="BZ421"/>
    </row>
    <row r="422" s="27" customFormat="1" customHeight="1" spans="10:78">
      <c r="J422" s="261"/>
      <c r="AY422" s="11"/>
      <c r="AZ422" s="11"/>
      <c r="BA422" s="262"/>
      <c r="BB422" s="262"/>
      <c r="BC422" s="262"/>
      <c r="BD422" s="262"/>
      <c r="BE422"/>
      <c r="BF422"/>
      <c r="BG422"/>
      <c r="BH422"/>
      <c r="BI422"/>
      <c r="BJ422"/>
      <c r="BK422"/>
      <c r="BL422"/>
      <c r="BM422"/>
      <c r="BN422"/>
      <c r="BO422"/>
      <c r="BP422"/>
      <c r="BQ422"/>
      <c r="BR422"/>
      <c r="BS422"/>
      <c r="BT422"/>
      <c r="BU422"/>
      <c r="BV422"/>
      <c r="BW422"/>
      <c r="BX422"/>
      <c r="BY422"/>
      <c r="BZ422"/>
    </row>
    <row r="423" s="27" customFormat="1" customHeight="1" spans="10:78">
      <c r="J423" s="261"/>
      <c r="AY423" s="11"/>
      <c r="AZ423" s="11"/>
      <c r="BA423" s="262"/>
      <c r="BB423" s="262"/>
      <c r="BC423" s="262"/>
      <c r="BD423" s="262"/>
      <c r="BE423"/>
      <c r="BF423"/>
      <c r="BG423"/>
      <c r="BH423"/>
      <c r="BI423"/>
      <c r="BJ423"/>
      <c r="BK423"/>
      <c r="BL423"/>
      <c r="BM423"/>
      <c r="BN423"/>
      <c r="BO423"/>
      <c r="BP423"/>
      <c r="BQ423"/>
      <c r="BR423"/>
      <c r="BS423"/>
      <c r="BT423"/>
      <c r="BU423"/>
      <c r="BV423"/>
      <c r="BW423"/>
      <c r="BX423"/>
      <c r="BY423"/>
      <c r="BZ423"/>
    </row>
    <row r="424" s="27" customFormat="1" customHeight="1" spans="10:78">
      <c r="J424" s="261"/>
      <c r="AY424" s="11"/>
      <c r="AZ424" s="11"/>
      <c r="BA424" s="262"/>
      <c r="BB424" s="262"/>
      <c r="BC424" s="262"/>
      <c r="BD424" s="262"/>
      <c r="BE424"/>
      <c r="BF424"/>
      <c r="BG424"/>
      <c r="BH424"/>
      <c r="BI424"/>
      <c r="BJ424"/>
      <c r="BK424"/>
      <c r="BL424"/>
      <c r="BM424"/>
      <c r="BN424"/>
      <c r="BO424"/>
      <c r="BP424"/>
      <c r="BQ424"/>
      <c r="BR424"/>
      <c r="BS424"/>
      <c r="BT424"/>
      <c r="BU424"/>
      <c r="BV424"/>
      <c r="BW424"/>
      <c r="BX424"/>
      <c r="BY424"/>
      <c r="BZ424"/>
    </row>
    <row r="425" s="27" customFormat="1" customHeight="1" spans="10:78">
      <c r="J425" s="261"/>
      <c r="AY425" s="11"/>
      <c r="AZ425" s="11"/>
      <c r="BA425" s="262"/>
      <c r="BB425" s="262"/>
      <c r="BC425" s="262"/>
      <c r="BD425" s="262"/>
      <c r="BE425"/>
      <c r="BF425"/>
      <c r="BG425"/>
      <c r="BH425"/>
      <c r="BI425"/>
      <c r="BJ425"/>
      <c r="BK425"/>
      <c r="BL425"/>
      <c r="BM425"/>
      <c r="BN425"/>
      <c r="BO425"/>
      <c r="BP425"/>
      <c r="BQ425"/>
      <c r="BR425"/>
      <c r="BS425"/>
      <c r="BT425"/>
      <c r="BU425"/>
      <c r="BV425"/>
      <c r="BW425"/>
      <c r="BX425"/>
      <c r="BY425"/>
      <c r="BZ425"/>
    </row>
    <row r="426" s="27" customFormat="1" customHeight="1" spans="10:78">
      <c r="J426" s="261"/>
      <c r="AY426" s="11"/>
      <c r="AZ426" s="11"/>
      <c r="BA426" s="262"/>
      <c r="BB426" s="262"/>
      <c r="BC426" s="262"/>
      <c r="BD426" s="262"/>
      <c r="BE426"/>
      <c r="BF426"/>
      <c r="BG426"/>
      <c r="BH426"/>
      <c r="BI426"/>
      <c r="BJ426"/>
      <c r="BK426"/>
      <c r="BL426"/>
      <c r="BM426"/>
      <c r="BN426"/>
      <c r="BO426"/>
      <c r="BP426"/>
      <c r="BQ426"/>
      <c r="BR426"/>
      <c r="BS426"/>
      <c r="BT426"/>
      <c r="BU426"/>
      <c r="BV426"/>
      <c r="BW426"/>
      <c r="BX426"/>
      <c r="BY426"/>
      <c r="BZ426"/>
    </row>
    <row r="427" s="27" customFormat="1" customHeight="1" spans="10:78">
      <c r="J427" s="261"/>
      <c r="AY427" s="11"/>
      <c r="AZ427" s="11"/>
      <c r="BA427" s="262"/>
      <c r="BB427" s="262"/>
      <c r="BC427" s="262"/>
      <c r="BD427" s="262"/>
      <c r="BE427"/>
      <c r="BF427"/>
      <c r="BG427"/>
      <c r="BH427"/>
      <c r="BI427"/>
      <c r="BJ427"/>
      <c r="BK427"/>
      <c r="BL427"/>
      <c r="BM427"/>
      <c r="BN427"/>
      <c r="BO427"/>
      <c r="BP427"/>
      <c r="BQ427"/>
      <c r="BR427"/>
      <c r="BS427"/>
      <c r="BT427"/>
      <c r="BU427"/>
      <c r="BV427"/>
      <c r="BW427"/>
      <c r="BX427"/>
      <c r="BY427"/>
      <c r="BZ427"/>
    </row>
    <row r="428" s="27" customFormat="1" customHeight="1" spans="10:78">
      <c r="J428" s="261"/>
      <c r="AY428" s="11"/>
      <c r="AZ428" s="11"/>
      <c r="BA428" s="262"/>
      <c r="BB428" s="262"/>
      <c r="BC428" s="262"/>
      <c r="BD428" s="262"/>
      <c r="BE428"/>
      <c r="BF428"/>
      <c r="BG428"/>
      <c r="BH428"/>
      <c r="BI428"/>
      <c r="BJ428"/>
      <c r="BK428"/>
      <c r="BL428"/>
      <c r="BM428"/>
      <c r="BN428"/>
      <c r="BO428"/>
      <c r="BP428"/>
      <c r="BQ428"/>
      <c r="BR428"/>
      <c r="BS428"/>
      <c r="BT428"/>
      <c r="BU428"/>
      <c r="BV428"/>
      <c r="BW428"/>
      <c r="BX428"/>
      <c r="BY428"/>
      <c r="BZ428"/>
    </row>
    <row r="429" s="27" customFormat="1" customHeight="1" spans="10:78">
      <c r="J429" s="261"/>
      <c r="AY429" s="11"/>
      <c r="AZ429" s="11"/>
      <c r="BA429" s="262"/>
      <c r="BB429" s="262"/>
      <c r="BC429" s="262"/>
      <c r="BD429" s="262"/>
      <c r="BE429"/>
      <c r="BF429"/>
      <c r="BG429"/>
      <c r="BH429"/>
      <c r="BI429"/>
      <c r="BJ429"/>
      <c r="BK429"/>
      <c r="BL429"/>
      <c r="BM429"/>
      <c r="BN429"/>
      <c r="BO429"/>
      <c r="BP429"/>
      <c r="BQ429"/>
      <c r="BR429"/>
      <c r="BS429"/>
      <c r="BT429"/>
      <c r="BU429"/>
      <c r="BV429"/>
      <c r="BW429"/>
      <c r="BX429"/>
      <c r="BY429"/>
      <c r="BZ429"/>
    </row>
    <row r="430" s="27" customFormat="1" customHeight="1" spans="10:78">
      <c r="J430" s="261"/>
      <c r="AY430" s="11"/>
      <c r="AZ430" s="11"/>
      <c r="BA430" s="262"/>
      <c r="BB430" s="262"/>
      <c r="BC430" s="262"/>
      <c r="BD430" s="262"/>
      <c r="BE430"/>
      <c r="BF430"/>
      <c r="BG430"/>
      <c r="BH430"/>
      <c r="BI430"/>
      <c r="BJ430"/>
      <c r="BK430"/>
      <c r="BL430"/>
      <c r="BM430"/>
      <c r="BN430"/>
      <c r="BO430"/>
      <c r="BP430"/>
      <c r="BQ430"/>
      <c r="BR430"/>
      <c r="BS430"/>
      <c r="BT430"/>
      <c r="BU430"/>
      <c r="BV430"/>
      <c r="BW430"/>
      <c r="BX430"/>
      <c r="BY430"/>
      <c r="BZ430"/>
    </row>
    <row r="431" s="27" customFormat="1" customHeight="1" spans="10:78">
      <c r="J431" s="261"/>
      <c r="AY431" s="11"/>
      <c r="AZ431" s="11"/>
      <c r="BA431" s="262"/>
      <c r="BB431" s="262"/>
      <c r="BC431" s="262"/>
      <c r="BD431" s="262"/>
      <c r="BE431"/>
      <c r="BF431"/>
      <c r="BG431"/>
      <c r="BH431"/>
      <c r="BI431"/>
      <c r="BJ431"/>
      <c r="BK431"/>
      <c r="BL431"/>
      <c r="BM431"/>
      <c r="BN431"/>
      <c r="BO431"/>
      <c r="BP431"/>
      <c r="BQ431"/>
      <c r="BR431"/>
      <c r="BS431"/>
      <c r="BT431"/>
      <c r="BU431"/>
      <c r="BV431"/>
      <c r="BW431"/>
      <c r="BX431"/>
      <c r="BY431"/>
      <c r="BZ431"/>
    </row>
    <row r="432" s="27" customFormat="1" customHeight="1" spans="10:78">
      <c r="J432" s="261"/>
      <c r="AY432" s="11"/>
      <c r="AZ432" s="11"/>
      <c r="BA432" s="262"/>
      <c r="BB432" s="262"/>
      <c r="BC432" s="262"/>
      <c r="BD432" s="262"/>
      <c r="BE432"/>
      <c r="BF432"/>
      <c r="BG432"/>
      <c r="BH432"/>
      <c r="BI432"/>
      <c r="BJ432"/>
      <c r="BK432"/>
      <c r="BL432"/>
      <c r="BM432"/>
      <c r="BN432"/>
      <c r="BO432"/>
      <c r="BP432"/>
      <c r="BQ432"/>
      <c r="BR432"/>
      <c r="BS432"/>
      <c r="BT432"/>
      <c r="BU432"/>
      <c r="BV432"/>
      <c r="BW432"/>
      <c r="BX432"/>
      <c r="BY432"/>
      <c r="BZ432"/>
    </row>
    <row r="433" s="27" customFormat="1" customHeight="1" spans="10:78">
      <c r="J433" s="261"/>
      <c r="AY433" s="11"/>
      <c r="AZ433" s="11"/>
      <c r="BA433" s="262"/>
      <c r="BB433" s="262"/>
      <c r="BC433" s="262"/>
      <c r="BD433" s="262"/>
      <c r="BE433"/>
      <c r="BF433"/>
      <c r="BG433"/>
      <c r="BH433"/>
      <c r="BI433"/>
      <c r="BJ433"/>
      <c r="BK433"/>
      <c r="BL433"/>
      <c r="BM433"/>
      <c r="BN433"/>
      <c r="BO433"/>
      <c r="BP433"/>
      <c r="BQ433"/>
      <c r="BR433"/>
      <c r="BS433"/>
      <c r="BT433"/>
      <c r="BU433"/>
      <c r="BV433"/>
      <c r="BW433"/>
      <c r="BX433"/>
      <c r="BY433"/>
      <c r="BZ433"/>
    </row>
    <row r="434" s="27" customFormat="1" customHeight="1" spans="10:78">
      <c r="J434" s="261"/>
      <c r="AY434" s="11"/>
      <c r="AZ434" s="11"/>
      <c r="BA434" s="262"/>
      <c r="BB434" s="262"/>
      <c r="BC434" s="262"/>
      <c r="BD434" s="262"/>
      <c r="BE434"/>
      <c r="BF434"/>
      <c r="BG434"/>
      <c r="BH434"/>
      <c r="BI434"/>
      <c r="BJ434"/>
      <c r="BK434"/>
      <c r="BL434"/>
      <c r="BM434"/>
      <c r="BN434"/>
      <c r="BO434"/>
      <c r="BP434"/>
      <c r="BQ434"/>
      <c r="BR434"/>
      <c r="BS434"/>
      <c r="BT434"/>
      <c r="BU434"/>
      <c r="BV434"/>
      <c r="BW434"/>
      <c r="BX434"/>
      <c r="BY434"/>
      <c r="BZ434"/>
    </row>
    <row r="435" s="27" customFormat="1" customHeight="1" spans="10:78">
      <c r="J435" s="261"/>
      <c r="AY435" s="11"/>
      <c r="AZ435" s="11"/>
      <c r="BA435" s="262"/>
      <c r="BB435" s="262"/>
      <c r="BC435" s="262"/>
      <c r="BD435" s="262"/>
      <c r="BE435"/>
      <c r="BF435"/>
      <c r="BG435"/>
      <c r="BH435"/>
      <c r="BI435"/>
      <c r="BJ435"/>
      <c r="BK435"/>
      <c r="BL435"/>
      <c r="BM435"/>
      <c r="BN435"/>
      <c r="BO435"/>
      <c r="BP435"/>
      <c r="BQ435"/>
      <c r="BR435"/>
      <c r="BS435"/>
      <c r="BT435"/>
      <c r="BU435"/>
      <c r="BV435"/>
      <c r="BW435"/>
      <c r="BX435"/>
      <c r="BY435"/>
      <c r="BZ435"/>
    </row>
    <row r="436" s="27" customFormat="1" customHeight="1" spans="10:78">
      <c r="J436" s="261"/>
      <c r="AY436" s="11"/>
      <c r="AZ436" s="11"/>
      <c r="BA436" s="262"/>
      <c r="BB436" s="262"/>
      <c r="BC436" s="262"/>
      <c r="BD436" s="262"/>
      <c r="BE436"/>
      <c r="BF436"/>
      <c r="BG436"/>
      <c r="BH436"/>
      <c r="BI436"/>
      <c r="BJ436"/>
      <c r="BK436"/>
      <c r="BL436"/>
      <c r="BM436"/>
      <c r="BN436"/>
      <c r="BO436"/>
      <c r="BP436"/>
      <c r="BQ436"/>
      <c r="BR436"/>
      <c r="BS436"/>
      <c r="BT436"/>
      <c r="BU436"/>
      <c r="BV436"/>
      <c r="BW436"/>
      <c r="BX436"/>
      <c r="BY436"/>
      <c r="BZ436"/>
    </row>
    <row r="437" s="27" customFormat="1" customHeight="1" spans="10:78">
      <c r="J437" s="261"/>
      <c r="AY437" s="11"/>
      <c r="AZ437" s="11"/>
      <c r="BA437" s="262"/>
      <c r="BB437" s="262"/>
      <c r="BC437" s="262"/>
      <c r="BD437" s="262"/>
      <c r="BE437"/>
      <c r="BF437"/>
      <c r="BG437"/>
      <c r="BH437"/>
      <c r="BI437"/>
      <c r="BJ437"/>
      <c r="BK437"/>
      <c r="BL437"/>
      <c r="BM437"/>
      <c r="BN437"/>
      <c r="BO437"/>
      <c r="BP437"/>
      <c r="BQ437"/>
      <c r="BR437"/>
      <c r="BS437"/>
      <c r="BT437"/>
      <c r="BU437"/>
      <c r="BV437"/>
      <c r="BW437"/>
      <c r="BX437"/>
      <c r="BY437"/>
      <c r="BZ437"/>
    </row>
    <row r="438" s="27" customFormat="1" customHeight="1" spans="10:78">
      <c r="J438" s="261"/>
      <c r="AY438" s="11"/>
      <c r="AZ438" s="11"/>
      <c r="BA438" s="262"/>
      <c r="BB438" s="262"/>
      <c r="BC438" s="262"/>
      <c r="BD438" s="262"/>
      <c r="BE438"/>
      <c r="BF438"/>
      <c r="BG438"/>
      <c r="BH438"/>
      <c r="BI438"/>
      <c r="BJ438"/>
      <c r="BK438"/>
      <c r="BL438"/>
      <c r="BM438"/>
      <c r="BN438"/>
      <c r="BO438"/>
      <c r="BP438"/>
      <c r="BQ438"/>
      <c r="BR438"/>
      <c r="BS438"/>
      <c r="BT438"/>
      <c r="BU438"/>
      <c r="BV438"/>
      <c r="BW438"/>
      <c r="BX438"/>
      <c r="BY438"/>
      <c r="BZ438"/>
    </row>
    <row r="439" s="27" customFormat="1" customHeight="1" spans="10:78">
      <c r="J439" s="261"/>
      <c r="AY439" s="11"/>
      <c r="AZ439" s="11"/>
      <c r="BA439" s="262"/>
      <c r="BB439" s="262"/>
      <c r="BC439" s="262"/>
      <c r="BD439" s="262"/>
      <c r="BE439"/>
      <c r="BF439"/>
      <c r="BG439"/>
      <c r="BH439"/>
      <c r="BI439"/>
      <c r="BJ439"/>
      <c r="BK439"/>
      <c r="BL439"/>
      <c r="BM439"/>
      <c r="BN439"/>
      <c r="BO439"/>
      <c r="BP439"/>
      <c r="BQ439"/>
      <c r="BR439"/>
      <c r="BS439"/>
      <c r="BT439"/>
      <c r="BU439"/>
      <c r="BV439"/>
      <c r="BW439"/>
      <c r="BX439"/>
      <c r="BY439"/>
      <c r="BZ439"/>
    </row>
    <row r="440" s="27" customFormat="1" customHeight="1" spans="10:78">
      <c r="J440" s="261"/>
      <c r="AY440" s="11"/>
      <c r="AZ440" s="11"/>
      <c r="BA440" s="262"/>
      <c r="BB440" s="262"/>
      <c r="BC440" s="262"/>
      <c r="BD440" s="262"/>
      <c r="BE440"/>
      <c r="BF440"/>
      <c r="BG440"/>
      <c r="BH440"/>
      <c r="BI440"/>
      <c r="BJ440"/>
      <c r="BK440"/>
      <c r="BL440"/>
      <c r="BM440"/>
      <c r="BN440"/>
      <c r="BO440"/>
      <c r="BP440"/>
      <c r="BQ440"/>
      <c r="BR440"/>
      <c r="BS440"/>
      <c r="BT440"/>
      <c r="BU440"/>
      <c r="BV440"/>
      <c r="BW440"/>
      <c r="BX440"/>
      <c r="BY440"/>
      <c r="BZ440"/>
    </row>
    <row r="441" s="27" customFormat="1" customHeight="1" spans="10:78">
      <c r="J441" s="261"/>
      <c r="AY441" s="11"/>
      <c r="AZ441" s="11"/>
      <c r="BA441" s="262"/>
      <c r="BB441" s="262"/>
      <c r="BC441" s="262"/>
      <c r="BD441" s="262"/>
      <c r="BE441"/>
      <c r="BF441"/>
      <c r="BG441"/>
      <c r="BH441"/>
      <c r="BI441"/>
      <c r="BJ441"/>
      <c r="BK441"/>
      <c r="BL441"/>
      <c r="BM441"/>
      <c r="BN441"/>
      <c r="BO441"/>
      <c r="BP441"/>
      <c r="BQ441"/>
      <c r="BR441"/>
      <c r="BS441"/>
      <c r="BT441"/>
      <c r="BU441"/>
      <c r="BV441"/>
      <c r="BW441"/>
      <c r="BX441"/>
      <c r="BY441"/>
      <c r="BZ441"/>
    </row>
    <row r="442" s="27" customFormat="1" customHeight="1" spans="10:78">
      <c r="J442" s="261"/>
      <c r="AY442" s="11"/>
      <c r="AZ442" s="11"/>
      <c r="BA442" s="262"/>
      <c r="BB442" s="262"/>
      <c r="BC442" s="262"/>
      <c r="BD442" s="262"/>
      <c r="BE442"/>
      <c r="BF442"/>
      <c r="BG442"/>
      <c r="BH442"/>
      <c r="BI442"/>
      <c r="BJ442"/>
      <c r="BK442"/>
      <c r="BL442"/>
      <c r="BM442"/>
      <c r="BN442"/>
      <c r="BO442"/>
      <c r="BP442"/>
      <c r="BQ442"/>
      <c r="BR442"/>
      <c r="BS442"/>
      <c r="BT442"/>
      <c r="BU442"/>
      <c r="BV442"/>
      <c r="BW442"/>
      <c r="BX442"/>
      <c r="BY442"/>
      <c r="BZ442"/>
    </row>
    <row r="443" s="27" customFormat="1" customHeight="1" spans="10:78">
      <c r="J443" s="261"/>
      <c r="AY443" s="11"/>
      <c r="AZ443" s="11"/>
      <c r="BA443" s="262"/>
      <c r="BB443" s="262"/>
      <c r="BC443" s="262"/>
      <c r="BD443" s="262"/>
      <c r="BE443"/>
      <c r="BF443"/>
      <c r="BG443"/>
      <c r="BH443"/>
      <c r="BI443"/>
      <c r="BJ443"/>
      <c r="BK443"/>
      <c r="BL443"/>
      <c r="BM443"/>
      <c r="BN443"/>
      <c r="BO443"/>
      <c r="BP443"/>
      <c r="BQ443"/>
      <c r="BR443"/>
      <c r="BS443"/>
      <c r="BT443"/>
      <c r="BU443"/>
      <c r="BV443"/>
      <c r="BW443"/>
      <c r="BX443"/>
      <c r="BY443"/>
      <c r="BZ443"/>
    </row>
    <row r="444" s="27" customFormat="1" customHeight="1" spans="10:78">
      <c r="J444" s="261"/>
      <c r="AY444" s="11"/>
      <c r="AZ444" s="11"/>
      <c r="BA444" s="262"/>
      <c r="BB444" s="262"/>
      <c r="BC444" s="262"/>
      <c r="BD444" s="262"/>
      <c r="BE444"/>
      <c r="BF444"/>
      <c r="BG444"/>
      <c r="BH444"/>
      <c r="BI444"/>
      <c r="BJ444"/>
      <c r="BK444"/>
      <c r="BL444"/>
      <c r="BM444"/>
      <c r="BN444"/>
      <c r="BO444"/>
      <c r="BP444"/>
      <c r="BQ444"/>
      <c r="BR444"/>
      <c r="BS444"/>
      <c r="BT444"/>
      <c r="BU444"/>
      <c r="BV444"/>
      <c r="BW444"/>
      <c r="BX444"/>
      <c r="BY444"/>
      <c r="BZ444"/>
    </row>
    <row r="445" s="27" customFormat="1" customHeight="1" spans="10:78">
      <c r="J445" s="261"/>
      <c r="AY445" s="11"/>
      <c r="AZ445" s="11"/>
      <c r="BA445" s="262"/>
      <c r="BB445" s="262"/>
      <c r="BC445" s="262"/>
      <c r="BD445" s="262"/>
      <c r="BE445"/>
      <c r="BF445"/>
      <c r="BG445"/>
      <c r="BH445"/>
      <c r="BI445"/>
      <c r="BJ445"/>
      <c r="BK445"/>
      <c r="BL445"/>
      <c r="BM445"/>
      <c r="BN445"/>
      <c r="BO445"/>
      <c r="BP445"/>
      <c r="BQ445"/>
      <c r="BR445"/>
      <c r="BS445"/>
      <c r="BT445"/>
      <c r="BU445"/>
      <c r="BV445"/>
      <c r="BW445"/>
      <c r="BX445"/>
      <c r="BY445"/>
      <c r="BZ445"/>
    </row>
    <row r="446" s="27" customFormat="1" customHeight="1" spans="10:78">
      <c r="J446" s="261"/>
      <c r="AY446" s="11"/>
      <c r="AZ446" s="11"/>
      <c r="BA446" s="262"/>
      <c r="BB446" s="262"/>
      <c r="BC446" s="262"/>
      <c r="BD446" s="262"/>
      <c r="BE446"/>
      <c r="BF446"/>
      <c r="BG446"/>
      <c r="BH446"/>
      <c r="BI446"/>
      <c r="BJ446"/>
      <c r="BK446"/>
      <c r="BL446"/>
      <c r="BM446"/>
      <c r="BN446"/>
      <c r="BO446"/>
      <c r="BP446"/>
      <c r="BQ446"/>
      <c r="BR446"/>
      <c r="BS446"/>
      <c r="BT446"/>
      <c r="BU446"/>
      <c r="BV446"/>
      <c r="BW446"/>
      <c r="BX446"/>
      <c r="BY446"/>
      <c r="BZ446"/>
    </row>
  </sheetData>
  <mergeCells count="283">
    <mergeCell ref="A1:I1"/>
    <mergeCell ref="K1:BY1"/>
    <mergeCell ref="F5:H5"/>
    <mergeCell ref="F6:H6"/>
    <mergeCell ref="F7:H7"/>
    <mergeCell ref="Y7:AW7"/>
    <mergeCell ref="Y8:AW8"/>
    <mergeCell ref="Y9:AW9"/>
    <mergeCell ref="Y10:AW10"/>
    <mergeCell ref="Y11:AW11"/>
    <mergeCell ref="Y12:AW12"/>
    <mergeCell ref="F13:G13"/>
    <mergeCell ref="Y13:AW13"/>
    <mergeCell ref="F14:H14"/>
    <mergeCell ref="Y14:AW14"/>
    <mergeCell ref="F15:H15"/>
    <mergeCell ref="Y15:AW15"/>
    <mergeCell ref="F16:H16"/>
    <mergeCell ref="Y16:AW16"/>
    <mergeCell ref="F17:H17"/>
    <mergeCell ref="Y17:AW17"/>
    <mergeCell ref="F18:H18"/>
    <mergeCell ref="Y18:AW18"/>
    <mergeCell ref="F19:H19"/>
    <mergeCell ref="Y19:AW19"/>
    <mergeCell ref="F20:H20"/>
    <mergeCell ref="Y20:AW20"/>
    <mergeCell ref="F21:H21"/>
    <mergeCell ref="Y21:AW21"/>
    <mergeCell ref="F22:H22"/>
    <mergeCell ref="Y22:AW22"/>
    <mergeCell ref="F23:H23"/>
    <mergeCell ref="Y23:AW23"/>
    <mergeCell ref="F24:H24"/>
    <mergeCell ref="Y24:AW24"/>
    <mergeCell ref="F25:H25"/>
    <mergeCell ref="Y25:AW25"/>
    <mergeCell ref="F26:H26"/>
    <mergeCell ref="Y26:AW26"/>
    <mergeCell ref="F27:H27"/>
    <mergeCell ref="Y27:AW27"/>
    <mergeCell ref="F28:H28"/>
    <mergeCell ref="Y28:AW28"/>
    <mergeCell ref="F29:H29"/>
    <mergeCell ref="Y29:AW29"/>
    <mergeCell ref="F30:H30"/>
    <mergeCell ref="Y30:AW30"/>
    <mergeCell ref="F31:H31"/>
    <mergeCell ref="Y31:AW31"/>
    <mergeCell ref="F32:H32"/>
    <mergeCell ref="Y32:AW32"/>
    <mergeCell ref="F33:H33"/>
    <mergeCell ref="Y33:AW33"/>
    <mergeCell ref="F34:H34"/>
    <mergeCell ref="Y34:AW34"/>
    <mergeCell ref="F35:H35"/>
    <mergeCell ref="Y35:AW35"/>
    <mergeCell ref="F36:H36"/>
    <mergeCell ref="Y36:AW36"/>
    <mergeCell ref="F37:H37"/>
    <mergeCell ref="Y37:AW37"/>
    <mergeCell ref="F38:H38"/>
    <mergeCell ref="Y38:AW38"/>
    <mergeCell ref="F39:H39"/>
    <mergeCell ref="Y39:AW39"/>
    <mergeCell ref="F40:H40"/>
    <mergeCell ref="AF40:AJ40"/>
    <mergeCell ref="F41:H41"/>
    <mergeCell ref="AG41:AJ41"/>
    <mergeCell ref="F42:H42"/>
    <mergeCell ref="Y42:AB42"/>
    <mergeCell ref="AC42:AE42"/>
    <mergeCell ref="AG42:AJ42"/>
    <mergeCell ref="Y43:AB43"/>
    <mergeCell ref="AC43:AE43"/>
    <mergeCell ref="AG43:AJ43"/>
    <mergeCell ref="Y44:AB44"/>
    <mergeCell ref="AC44:AE44"/>
    <mergeCell ref="AG44:AJ44"/>
    <mergeCell ref="Y45:AB45"/>
    <mergeCell ref="AC45:AE45"/>
    <mergeCell ref="AG45:AJ45"/>
    <mergeCell ref="Y46:AW46"/>
    <mergeCell ref="Y47:AW47"/>
    <mergeCell ref="Y48:AW48"/>
    <mergeCell ref="AG49:AN49"/>
    <mergeCell ref="AG50:AN50"/>
    <mergeCell ref="AG51:AN51"/>
    <mergeCell ref="AG52:AN52"/>
    <mergeCell ref="AG53:AN53"/>
    <mergeCell ref="AG54:AN54"/>
    <mergeCell ref="O55:S55"/>
    <mergeCell ref="AG55:AN55"/>
    <mergeCell ref="AG56:AN56"/>
    <mergeCell ref="AG57:AN57"/>
    <mergeCell ref="Y58:AW58"/>
    <mergeCell ref="Y59:AW59"/>
    <mergeCell ref="Y60:AW60"/>
    <mergeCell ref="Y61:AW61"/>
    <mergeCell ref="Y62:AW62"/>
    <mergeCell ref="Y63:AW63"/>
    <mergeCell ref="Y64:AW64"/>
    <mergeCell ref="Y65:AW65"/>
    <mergeCell ref="Y66:AW66"/>
    <mergeCell ref="Y67:AW67"/>
    <mergeCell ref="Y68:AW68"/>
    <mergeCell ref="Y69:AW69"/>
    <mergeCell ref="Y70:AW70"/>
    <mergeCell ref="W71:AW71"/>
    <mergeCell ref="AZ71:BD71"/>
    <mergeCell ref="AD102:AH102"/>
    <mergeCell ref="AD106:AH106"/>
    <mergeCell ref="AI106:AJ106"/>
    <mergeCell ref="AK106:AL106"/>
    <mergeCell ref="AM106:AN106"/>
    <mergeCell ref="AO106:AP106"/>
    <mergeCell ref="AQ106:AR106"/>
    <mergeCell ref="AS106:AT106"/>
    <mergeCell ref="AU106:AV106"/>
    <mergeCell ref="AE107:AG107"/>
    <mergeCell ref="AH107:AI107"/>
    <mergeCell ref="AJ107:AK107"/>
    <mergeCell ref="AL107:AM107"/>
    <mergeCell ref="AN107:AO107"/>
    <mergeCell ref="AP107:AQ107"/>
    <mergeCell ref="AR107:AS107"/>
    <mergeCell ref="AT107:AU107"/>
    <mergeCell ref="AV107:AW107"/>
    <mergeCell ref="AE108:AG108"/>
    <mergeCell ref="AE111:AW111"/>
    <mergeCell ref="AB112:AQ112"/>
    <mergeCell ref="AB113:AQ113"/>
    <mergeCell ref="AB114:AQ114"/>
    <mergeCell ref="AB115:AQ115"/>
    <mergeCell ref="AB116:AQ116"/>
    <mergeCell ref="BR120:BS120"/>
    <mergeCell ref="BT120:BU120"/>
    <mergeCell ref="BV120:BW120"/>
    <mergeCell ref="BR121:BS121"/>
    <mergeCell ref="BT121:BU121"/>
    <mergeCell ref="BV121:BW121"/>
    <mergeCell ref="BX122:BY122"/>
    <mergeCell ref="BL123:BM123"/>
    <mergeCell ref="BX123:BY123"/>
    <mergeCell ref="BV124:BW124"/>
    <mergeCell ref="BF126:BH126"/>
    <mergeCell ref="BL126:BM126"/>
    <mergeCell ref="BF127:BH127"/>
    <mergeCell ref="BF128:BH128"/>
    <mergeCell ref="BL128:BM128"/>
    <mergeCell ref="BT128:BU128"/>
    <mergeCell ref="E8:E12"/>
    <mergeCell ref="E15:E17"/>
    <mergeCell ref="E18:E23"/>
    <mergeCell ref="E24:E25"/>
    <mergeCell ref="E27:E32"/>
    <mergeCell ref="E33:E41"/>
    <mergeCell ref="F9:F11"/>
    <mergeCell ref="K45:K55"/>
    <mergeCell ref="K62:K72"/>
    <mergeCell ref="L45:L48"/>
    <mergeCell ref="L49:L55"/>
    <mergeCell ref="M51:M55"/>
    <mergeCell ref="N51:N52"/>
    <mergeCell ref="N53:N54"/>
    <mergeCell ref="O51:O52"/>
    <mergeCell ref="O53:O54"/>
    <mergeCell ref="P51:P52"/>
    <mergeCell ref="P53:P54"/>
    <mergeCell ref="Q51:Q52"/>
    <mergeCell ref="Q53:Q54"/>
    <mergeCell ref="R51:R52"/>
    <mergeCell ref="R53:R54"/>
    <mergeCell ref="S51:S52"/>
    <mergeCell ref="S53:S54"/>
    <mergeCell ref="U2:U5"/>
    <mergeCell ref="U6:U8"/>
    <mergeCell ref="U9:U12"/>
    <mergeCell ref="U13:U16"/>
    <mergeCell ref="U17:U50"/>
    <mergeCell ref="U51:U88"/>
    <mergeCell ref="U89:U140"/>
    <mergeCell ref="W7:W11"/>
    <mergeCell ref="W12:W25"/>
    <mergeCell ref="W26:W48"/>
    <mergeCell ref="W49:W70"/>
    <mergeCell ref="X49:X57"/>
    <mergeCell ref="Z92:Z113"/>
    <mergeCell ref="Z114:Z116"/>
    <mergeCell ref="Z117:Z119"/>
    <mergeCell ref="AA92:AA106"/>
    <mergeCell ref="AA107:AA119"/>
    <mergeCell ref="AB92:AB106"/>
    <mergeCell ref="AB107:AB111"/>
    <mergeCell ref="AB117:AB119"/>
    <mergeCell ref="AC96:AC111"/>
    <mergeCell ref="AD107:AD111"/>
    <mergeCell ref="AW96:AW106"/>
    <mergeCell ref="AY71:AY98"/>
    <mergeCell ref="AZ72:AZ73"/>
    <mergeCell ref="AZ75:AZ76"/>
    <mergeCell ref="AZ77:AZ78"/>
    <mergeCell ref="AZ79:AZ81"/>
    <mergeCell ref="AZ82:AZ83"/>
    <mergeCell ref="AZ84:AZ88"/>
    <mergeCell ref="BA72:BA73"/>
    <mergeCell ref="BF135:BF151"/>
    <mergeCell ref="BF152:BF170"/>
    <mergeCell ref="BF171:BF185"/>
    <mergeCell ref="BL124:BL125"/>
    <mergeCell ref="BN124:BN125"/>
    <mergeCell ref="BO124:BO125"/>
    <mergeCell ref="BP124:BP125"/>
    <mergeCell ref="BQ124:BQ127"/>
    <mergeCell ref="BT126:BT127"/>
    <mergeCell ref="BU126:BU127"/>
    <mergeCell ref="B2:C7"/>
    <mergeCell ref="E2:H4"/>
    <mergeCell ref="K2:S40"/>
    <mergeCell ref="W2:AW6"/>
    <mergeCell ref="AY2:BD8"/>
    <mergeCell ref="BF2:BY11"/>
    <mergeCell ref="B8:C62"/>
    <mergeCell ref="AY9:BD57"/>
    <mergeCell ref="Y40:AB41"/>
    <mergeCell ref="AC40:AE41"/>
    <mergeCell ref="AK40:AW43"/>
    <mergeCell ref="K41:S44"/>
    <mergeCell ref="AK44:AW45"/>
    <mergeCell ref="M45:S48"/>
    <mergeCell ref="M49:S50"/>
    <mergeCell ref="Y49:AF57"/>
    <mergeCell ref="AO50:AW52"/>
    <mergeCell ref="AO53:AW57"/>
    <mergeCell ref="K56:S61"/>
    <mergeCell ref="AY58:BD70"/>
    <mergeCell ref="L62:S68"/>
    <mergeCell ref="W72:AO91"/>
    <mergeCell ref="AP72:AW91"/>
    <mergeCell ref="AZ89:BD98"/>
    <mergeCell ref="W92:Y119"/>
    <mergeCell ref="AC92:AW95"/>
    <mergeCell ref="AD96:AF101"/>
    <mergeCell ref="AG96:AH101"/>
    <mergeCell ref="AI96:AP97"/>
    <mergeCell ref="AI98:AN99"/>
    <mergeCell ref="AY99:BD125"/>
    <mergeCell ref="AI100:AN101"/>
    <mergeCell ref="AD103:AH105"/>
    <mergeCell ref="AI103:AL105"/>
    <mergeCell ref="AM103:AP105"/>
    <mergeCell ref="AQ103:AT105"/>
    <mergeCell ref="AU103:AV105"/>
    <mergeCell ref="AJ108:AM110"/>
    <mergeCell ref="AN108:AQ110"/>
    <mergeCell ref="AR108:AU110"/>
    <mergeCell ref="AV108:AW110"/>
    <mergeCell ref="AR112:AW119"/>
    <mergeCell ref="AC117:AQ119"/>
    <mergeCell ref="W120:AW123"/>
    <mergeCell ref="AY126:BD163"/>
    <mergeCell ref="AY165:AZ170"/>
    <mergeCell ref="AY171:AZ224"/>
    <mergeCell ref="BF12:BY66"/>
    <mergeCell ref="BF67:BY119"/>
    <mergeCell ref="BX120:BY121"/>
    <mergeCell ref="BR122:BS123"/>
    <mergeCell ref="BT122:BU123"/>
    <mergeCell ref="BV122:BW123"/>
    <mergeCell ref="BR124:BS125"/>
    <mergeCell ref="BT124:BU125"/>
    <mergeCell ref="BF120:BK121"/>
    <mergeCell ref="BL120:BQ121"/>
    <mergeCell ref="BF124:BH125"/>
    <mergeCell ref="BV125:BY128"/>
    <mergeCell ref="BR126:BS127"/>
    <mergeCell ref="BF129:BY134"/>
    <mergeCell ref="BG135:BY136"/>
    <mergeCell ref="BG137:BY151"/>
    <mergeCell ref="BG152:BY170"/>
    <mergeCell ref="BG171:BY185"/>
    <mergeCell ref="CA1:CC177"/>
    <mergeCell ref="L69:S72"/>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J65"/>
  <sheetViews>
    <sheetView zoomScale="25" zoomScaleNormal="25" workbookViewId="0">
      <selection activeCell="AV65" sqref="AV65"/>
    </sheetView>
  </sheetViews>
  <sheetFormatPr defaultColWidth="9.84615384615385" defaultRowHeight="17.6"/>
  <cols>
    <col min="1" max="1" width="1.08653846153846" style="27" customWidth="1"/>
    <col min="2" max="2" width="4.67307692307692" style="27" customWidth="1"/>
    <col min="3" max="3" width="2.69230769230769" style="27" customWidth="1"/>
    <col min="4" max="4" width="5.17307692307692" style="27" customWidth="1"/>
    <col min="5" max="5" width="3.26923076923077" style="27" customWidth="1"/>
    <col min="6" max="6" width="2.69230769230769" style="27" customWidth="1"/>
    <col min="7" max="7" width="16.125" style="27" customWidth="1"/>
    <col min="8" max="8" width="2.71153846153846" style="27" customWidth="1"/>
    <col min="9" max="9" width="2.875" style="27" customWidth="1"/>
    <col min="10" max="10" width="2.71153846153846" style="27" customWidth="1"/>
    <col min="11" max="12" width="6.40384615384615" style="27" customWidth="1"/>
    <col min="13" max="13" width="2.71153846153846" style="27" customWidth="1"/>
    <col min="14" max="14" width="5.57692307692308" style="27" customWidth="1"/>
    <col min="15" max="15" width="2.71153846153846" style="27" customWidth="1"/>
    <col min="16" max="16" width="14.4230769230769" style="27" customWidth="1"/>
    <col min="17" max="17" width="2.22115384615385" style="27" customWidth="1"/>
    <col min="18" max="18" width="2.875" style="27" customWidth="1"/>
    <col min="19" max="19" width="2.71153846153846" style="27" customWidth="1"/>
    <col min="20" max="20" width="12.8173076923077" style="27" customWidth="1"/>
    <col min="21" max="21" width="2.71153846153846" style="27" customWidth="1"/>
    <col min="22" max="22" width="2.875" style="27" customWidth="1"/>
    <col min="23" max="23" width="2.71153846153846" style="27" customWidth="1"/>
    <col min="24" max="24" width="16.1538461538462" style="27" customWidth="1"/>
    <col min="25" max="25" width="3.70192307692308" style="27" customWidth="1"/>
    <col min="26" max="26" width="1.44230769230769" style="27" customWidth="1"/>
    <col min="27" max="27" width="2.69230769230769" style="27" customWidth="1"/>
    <col min="28" max="28" width="112.5" style="27" customWidth="1"/>
    <col min="29" max="30" width="0.826923076923077" style="27" customWidth="1"/>
    <col min="31" max="32" width="43.0961538461538" style="27" customWidth="1"/>
    <col min="33" max="33" width="0.730769230769231" style="27" customWidth="1"/>
    <col min="34" max="16384" width="9.84615384615385" style="27"/>
  </cols>
  <sheetData>
    <row r="1" s="27" customFormat="1" ht="5" customHeight="1" spans="2:32">
      <c r="D1" s="81"/>
    </row>
    <row r="2" s="27" customFormat="1" ht="16" customHeight="1" spans="2:32">
      <c r="C2" s="82" t="s">
        <v>331</v>
      </c>
      <c r="D2" s="83"/>
      <c r="E2" s="83"/>
      <c r="F2" s="83"/>
      <c r="G2" s="84"/>
      <c r="H2" s="85" t="s">
        <v>332</v>
      </c>
      <c r="I2" s="85"/>
      <c r="J2" s="85"/>
      <c r="K2" s="85"/>
      <c r="L2" s="85"/>
      <c r="M2" s="86"/>
      <c r="N2" s="87" t="s">
        <v>333</v>
      </c>
      <c r="O2" s="88"/>
      <c r="P2" s="88"/>
      <c r="Q2" s="88"/>
      <c r="R2" s="88"/>
      <c r="S2" s="88"/>
      <c r="T2" s="88"/>
      <c r="U2" s="88"/>
      <c r="V2" s="88"/>
      <c r="W2" s="89" t="s">
        <v>334</v>
      </c>
      <c r="X2" s="90"/>
      <c r="Y2" s="91"/>
      <c r="AA2" s="92" t="s">
        <v>335</v>
      </c>
      <c r="AB2" s="93"/>
      <c r="AC2" s="27"/>
      <c r="AD2" s="94"/>
      <c r="AE2" s="95" t="s">
        <v>336</v>
      </c>
      <c r="AF2" s="95"/>
    </row>
    <row r="3" s="27" customFormat="1" ht="16" customHeight="1" spans="2:32">
      <c r="C3" s="96"/>
      <c r="D3" s="97"/>
      <c r="E3" s="97"/>
      <c r="F3" s="97"/>
      <c r="G3" s="98"/>
      <c r="H3" s="85"/>
      <c r="I3" s="85"/>
      <c r="J3" s="85"/>
      <c r="K3" s="85"/>
      <c r="L3" s="85"/>
      <c r="M3" s="86"/>
      <c r="N3" s="88"/>
      <c r="O3" s="88"/>
      <c r="P3" s="88"/>
      <c r="Q3" s="88"/>
      <c r="R3" s="88"/>
      <c r="S3" s="88"/>
      <c r="T3" s="88"/>
      <c r="U3" s="88"/>
      <c r="V3" s="88"/>
      <c r="W3" s="99"/>
      <c r="X3" s="100"/>
      <c r="Y3" s="101"/>
      <c r="AA3" s="102" t="s">
        <v>337</v>
      </c>
      <c r="AB3" s="103" t="s">
        <v>338</v>
      </c>
      <c r="AD3" s="94"/>
      <c r="AE3" s="95"/>
      <c r="AF3" s="95"/>
    </row>
    <row r="4" s="27" customFormat="1" spans="2:32">
      <c r="G4" s="104"/>
      <c r="N4" s="88"/>
      <c r="O4" s="88"/>
      <c r="P4" s="88"/>
      <c r="Q4" s="88"/>
      <c r="R4" s="88"/>
      <c r="S4" s="88"/>
      <c r="T4" s="88"/>
      <c r="U4" s="88"/>
      <c r="V4" s="88"/>
      <c r="W4" s="99"/>
      <c r="X4" s="100"/>
      <c r="Y4" s="101"/>
      <c r="AA4" s="102"/>
      <c r="AB4" s="105"/>
      <c r="AC4" s="27"/>
      <c r="AD4" s="94"/>
      <c r="AE4" s="95"/>
      <c r="AF4" s="95"/>
    </row>
    <row r="5" s="27" customFormat="1" spans="2:32">
      <c r="C5" s="42"/>
      <c r="G5" s="104"/>
      <c r="P5" s="106" t="s">
        <v>339</v>
      </c>
      <c r="Q5" s="107"/>
      <c r="R5" s="107"/>
      <c r="S5" s="108"/>
      <c r="T5" s="109" t="s">
        <v>340</v>
      </c>
      <c r="U5" s="110"/>
      <c r="V5" s="110"/>
      <c r="W5" s="99"/>
      <c r="X5" s="100"/>
      <c r="Y5" s="101"/>
      <c r="AA5" s="102"/>
      <c r="AB5" s="105"/>
      <c r="AC5" s="27"/>
      <c r="AD5" s="94"/>
      <c r="AE5" s="95"/>
      <c r="AF5" s="95"/>
    </row>
    <row r="6" s="27" customFormat="1" spans="2:32">
      <c r="C6" s="42"/>
      <c r="G6" s="104"/>
      <c r="P6" s="111"/>
      <c r="Q6" s="112"/>
      <c r="R6" s="112"/>
      <c r="S6" s="113"/>
      <c r="T6" s="110"/>
      <c r="U6" s="110"/>
      <c r="V6" s="110"/>
      <c r="W6" s="99"/>
      <c r="X6" s="100"/>
      <c r="Y6" s="101"/>
      <c r="AA6" s="102"/>
      <c r="AB6" s="105"/>
      <c r="AC6" s="27"/>
      <c r="AD6" s="94"/>
      <c r="AE6" s="95"/>
      <c r="AF6" s="95"/>
    </row>
    <row r="7" s="27" customFormat="1" ht="18.35" spans="2:32">
      <c r="C7" s="42"/>
      <c r="E7" s="42"/>
      <c r="F7" s="42"/>
      <c r="H7" s="42"/>
      <c r="I7" s="42"/>
      <c r="J7" s="42"/>
      <c r="K7" s="42"/>
      <c r="L7" s="42"/>
      <c r="M7" s="42"/>
      <c r="N7" s="42"/>
      <c r="O7" s="42"/>
      <c r="P7" s="42"/>
      <c r="Q7" s="114"/>
      <c r="R7" s="42"/>
      <c r="S7" s="42"/>
      <c r="T7" s="42"/>
      <c r="W7" s="99"/>
      <c r="X7" s="100"/>
      <c r="Y7" s="101"/>
      <c r="AA7" s="102"/>
      <c r="AB7" s="105"/>
      <c r="AC7" s="27"/>
      <c r="AD7" s="94"/>
      <c r="AE7" s="95"/>
      <c r="AF7" s="95"/>
    </row>
    <row r="8" s="27" customFormat="1" ht="18.35" spans="2:32">
      <c r="C8" s="42"/>
      <c r="E8" s="42"/>
      <c r="F8" s="42"/>
      <c r="G8" s="115"/>
      <c r="H8" s="42"/>
      <c r="I8" s="42"/>
      <c r="J8" s="42"/>
      <c r="K8" s="82" t="s">
        <v>341</v>
      </c>
      <c r="L8" s="83"/>
      <c r="M8" s="83"/>
      <c r="N8" s="84"/>
      <c r="O8" s="42"/>
      <c r="P8" s="42"/>
      <c r="Q8" s="116"/>
      <c r="R8" s="42"/>
      <c r="S8" s="42"/>
      <c r="T8" s="117" t="s">
        <v>342</v>
      </c>
      <c r="U8" s="117"/>
      <c r="V8" s="117"/>
      <c r="W8" s="99"/>
      <c r="X8" s="100"/>
      <c r="Y8" s="101"/>
      <c r="AA8" s="102"/>
      <c r="AB8" s="105"/>
      <c r="AC8" s="27"/>
      <c r="AD8" s="94"/>
      <c r="AE8" s="95"/>
      <c r="AF8" s="95"/>
    </row>
    <row r="9" s="27" customFormat="1" ht="18.35" spans="2:32">
      <c r="C9" s="42"/>
      <c r="E9" s="42"/>
      <c r="F9" s="42"/>
      <c r="G9" s="115"/>
      <c r="H9" s="42"/>
      <c r="I9" s="118"/>
      <c r="J9" s="119"/>
      <c r="K9" s="96"/>
      <c r="L9" s="97"/>
      <c r="M9" s="97"/>
      <c r="N9" s="98"/>
      <c r="O9" s="119"/>
      <c r="P9" s="119"/>
      <c r="Q9" s="120"/>
      <c r="R9" s="121"/>
      <c r="S9" s="42"/>
      <c r="T9" s="117"/>
      <c r="U9" s="117"/>
      <c r="V9" s="117"/>
      <c r="W9" s="99"/>
      <c r="X9" s="100"/>
      <c r="Y9" s="101"/>
      <c r="AA9" s="102"/>
      <c r="AB9" s="105"/>
      <c r="AC9" s="27"/>
      <c r="AD9" s="94"/>
      <c r="AE9" s="95"/>
      <c r="AF9" s="95"/>
    </row>
    <row r="10" s="27" customFormat="1" ht="19.1" spans="2:32">
      <c r="C10" s="122" t="s">
        <v>343</v>
      </c>
      <c r="D10" s="123"/>
      <c r="E10" s="123"/>
      <c r="F10" s="123"/>
      <c r="G10" s="124"/>
      <c r="H10" s="42"/>
      <c r="I10" s="42"/>
      <c r="J10" s="42"/>
      <c r="K10" s="42"/>
      <c r="L10" s="42"/>
      <c r="M10" s="42"/>
      <c r="N10" s="42"/>
      <c r="O10" s="42"/>
      <c r="P10" s="42"/>
      <c r="Q10" s="114"/>
      <c r="R10" s="42"/>
      <c r="S10" s="42"/>
      <c r="T10" s="42"/>
      <c r="W10" s="99"/>
      <c r="X10" s="100"/>
      <c r="Y10" s="101"/>
      <c r="AA10" s="125"/>
      <c r="AB10" s="126"/>
      <c r="AC10" s="27"/>
      <c r="AD10" s="94"/>
      <c r="AE10" s="95"/>
      <c r="AF10" s="95"/>
    </row>
    <row r="11" s="27" customFormat="1" ht="19.1" spans="2:32">
      <c r="C11" s="127"/>
      <c r="D11" s="128"/>
      <c r="E11" s="128"/>
      <c r="F11" s="128"/>
      <c r="G11" s="129"/>
      <c r="H11" s="119"/>
      <c r="I11" s="42"/>
      <c r="J11" s="130"/>
      <c r="K11" s="42"/>
      <c r="L11" s="42"/>
      <c r="M11" s="42"/>
      <c r="N11" s="42"/>
      <c r="O11" s="42"/>
      <c r="P11" s="82" t="s">
        <v>344</v>
      </c>
      <c r="Q11" s="83"/>
      <c r="R11" s="83"/>
      <c r="S11" s="84"/>
      <c r="T11" s="131" t="s">
        <v>345</v>
      </c>
      <c r="U11" s="131"/>
      <c r="V11" s="131"/>
      <c r="W11" s="99"/>
      <c r="X11" s="100"/>
      <c r="Y11" s="101"/>
      <c r="AA11" s="132" t="s">
        <v>346</v>
      </c>
      <c r="AB11" s="133"/>
      <c r="AC11" s="27"/>
      <c r="AD11" s="94"/>
      <c r="AE11" s="95"/>
      <c r="AF11" s="95"/>
    </row>
    <row r="12" s="27" customFormat="1" ht="18.35" spans="2:32">
      <c r="C12" s="85" t="s">
        <v>347</v>
      </c>
      <c r="D12" s="85"/>
      <c r="E12" s="85"/>
      <c r="F12" s="85"/>
      <c r="H12" s="42"/>
      <c r="I12" s="130"/>
      <c r="J12" s="130"/>
      <c r="K12" s="42"/>
      <c r="L12" s="42"/>
      <c r="M12" s="42"/>
      <c r="N12" s="42"/>
      <c r="O12" s="42"/>
      <c r="P12" s="134"/>
      <c r="Q12" s="135"/>
      <c r="R12" s="135"/>
      <c r="S12" s="136"/>
      <c r="T12" s="131"/>
      <c r="U12" s="131"/>
      <c r="V12" s="131"/>
      <c r="W12" s="99"/>
      <c r="X12" s="100"/>
      <c r="Y12" s="101"/>
      <c r="Z12" s="137"/>
      <c r="AA12" s="132"/>
      <c r="AB12" s="133"/>
      <c r="AC12" s="27"/>
      <c r="AD12" s="94"/>
      <c r="AE12" s="95"/>
      <c r="AF12" s="95"/>
    </row>
    <row r="13" s="27" customFormat="1" spans="2:32">
      <c r="B13" s="138" t="s">
        <v>348</v>
      </c>
      <c r="C13" s="139"/>
      <c r="D13" s="139"/>
      <c r="E13" s="139"/>
      <c r="F13" s="139"/>
      <c r="G13" s="139"/>
      <c r="H13" s="42"/>
      <c r="I13" s="130"/>
      <c r="J13" s="130"/>
      <c r="K13" s="27"/>
      <c r="O13" s="42"/>
      <c r="P13" s="96"/>
      <c r="Q13" s="97"/>
      <c r="R13" s="97"/>
      <c r="S13" s="98"/>
      <c r="T13" s="131"/>
      <c r="U13" s="131"/>
      <c r="V13" s="131"/>
      <c r="W13" s="99"/>
      <c r="X13" s="100"/>
      <c r="Y13" s="101"/>
      <c r="AA13" s="132"/>
      <c r="AB13" s="133"/>
      <c r="AC13" s="27"/>
      <c r="AD13" s="94"/>
      <c r="AE13" s="95"/>
      <c r="AF13" s="95"/>
    </row>
    <row r="14" s="27" customFormat="1" spans="2:32">
      <c r="B14" s="139"/>
      <c r="C14" s="139"/>
      <c r="D14" s="139"/>
      <c r="E14" s="139"/>
      <c r="F14" s="139"/>
      <c r="G14" s="139"/>
      <c r="H14" s="42"/>
      <c r="I14" s="130"/>
      <c r="J14" s="130"/>
      <c r="K14" s="27"/>
      <c r="W14" s="99"/>
      <c r="X14" s="100"/>
      <c r="Y14" s="101"/>
      <c r="AA14" s="132"/>
      <c r="AB14" s="133"/>
      <c r="AC14" s="27"/>
      <c r="AD14" s="94"/>
      <c r="AE14" s="95"/>
      <c r="AF14" s="95"/>
    </row>
    <row r="15" s="27" customFormat="1" ht="18.35" spans="2:32">
      <c r="B15" s="139"/>
      <c r="C15" s="139"/>
      <c r="D15" s="139"/>
      <c r="E15" s="139"/>
      <c r="F15" s="139"/>
      <c r="G15" s="139"/>
      <c r="H15" s="42"/>
      <c r="I15" s="130"/>
      <c r="J15" s="140"/>
      <c r="K15" s="82" t="s">
        <v>349</v>
      </c>
      <c r="L15" s="83"/>
      <c r="M15" s="83"/>
      <c r="N15" s="84"/>
      <c r="O15" s="42"/>
      <c r="P15" s="82" t="s">
        <v>350</v>
      </c>
      <c r="Q15" s="83"/>
      <c r="R15" s="83"/>
      <c r="S15" s="84"/>
      <c r="T15" s="85" t="s">
        <v>351</v>
      </c>
      <c r="U15" s="85"/>
      <c r="V15" s="85"/>
      <c r="W15" s="99"/>
      <c r="X15" s="100"/>
      <c r="Y15" s="101"/>
      <c r="AA15" s="132"/>
      <c r="AB15" s="133"/>
      <c r="AC15" s="27"/>
      <c r="AD15" s="94"/>
      <c r="AE15" s="95"/>
      <c r="AF15" s="95"/>
    </row>
    <row r="16" s="27" customFormat="1" spans="2:32">
      <c r="B16" s="139"/>
      <c r="C16" s="139"/>
      <c r="D16" s="139"/>
      <c r="E16" s="139"/>
      <c r="F16" s="139"/>
      <c r="G16" s="139"/>
      <c r="H16" s="42"/>
      <c r="I16" s="130"/>
      <c r="J16" s="42"/>
      <c r="K16" s="96"/>
      <c r="L16" s="97"/>
      <c r="M16" s="97"/>
      <c r="N16" s="98"/>
      <c r="O16" s="141"/>
      <c r="P16" s="96"/>
      <c r="Q16" s="97"/>
      <c r="R16" s="97"/>
      <c r="S16" s="98"/>
      <c r="T16" s="85"/>
      <c r="U16" s="85"/>
      <c r="V16" s="85"/>
      <c r="W16" s="99"/>
      <c r="X16" s="100"/>
      <c r="Y16" s="101"/>
      <c r="AA16" s="132"/>
      <c r="AB16" s="133"/>
      <c r="AC16" s="27"/>
      <c r="AD16" s="94"/>
      <c r="AE16" s="95"/>
      <c r="AF16" s="95"/>
    </row>
    <row r="17" s="27" customFormat="1" spans="2:36">
      <c r="B17" s="139"/>
      <c r="C17" s="139"/>
      <c r="D17" s="139"/>
      <c r="E17" s="139"/>
      <c r="F17" s="139"/>
      <c r="G17" s="139"/>
      <c r="H17" s="42"/>
      <c r="I17" s="130"/>
      <c r="J17" s="42"/>
      <c r="K17" s="42"/>
      <c r="L17" s="42"/>
      <c r="M17" s="42"/>
      <c r="N17" s="42"/>
      <c r="O17" s="42"/>
      <c r="T17" s="42"/>
      <c r="W17" s="99"/>
      <c r="X17" s="100"/>
      <c r="Y17" s="101"/>
      <c r="AA17" s="132"/>
      <c r="AB17" s="133"/>
      <c r="AC17" s="27"/>
      <c r="AD17" s="94"/>
      <c r="AE17" s="95"/>
      <c r="AF17" s="95"/>
    </row>
    <row r="18" s="27" customFormat="1" ht="18.35" spans="2:36">
      <c r="B18" s="139"/>
      <c r="C18" s="139"/>
      <c r="D18" s="139"/>
      <c r="E18" s="139"/>
      <c r="F18" s="139"/>
      <c r="G18" s="139"/>
      <c r="H18" s="42"/>
      <c r="I18" s="140"/>
      <c r="J18" s="120"/>
      <c r="K18" s="82" t="s">
        <v>352</v>
      </c>
      <c r="L18" s="83"/>
      <c r="M18" s="83"/>
      <c r="N18" s="84"/>
      <c r="O18" s="42"/>
      <c r="P18" s="82" t="s">
        <v>353</v>
      </c>
      <c r="Q18" s="83"/>
      <c r="R18" s="83"/>
      <c r="S18" s="84"/>
      <c r="T18" s="85" t="s">
        <v>354</v>
      </c>
      <c r="U18" s="85"/>
      <c r="V18" s="85"/>
      <c r="W18" s="99"/>
      <c r="X18" s="100"/>
      <c r="Y18" s="101"/>
      <c r="AA18" s="132"/>
      <c r="AB18" s="133"/>
      <c r="AC18" s="27"/>
      <c r="AD18" s="94"/>
      <c r="AE18" s="95"/>
      <c r="AF18" s="95"/>
      <c r="AI18" s="142"/>
      <c r="AJ18" s="142"/>
    </row>
    <row r="19" s="27" customFormat="1" ht="18.35" spans="2:36">
      <c r="B19" s="139"/>
      <c r="C19" s="139"/>
      <c r="D19" s="139"/>
      <c r="E19" s="139"/>
      <c r="F19" s="139"/>
      <c r="G19" s="139"/>
      <c r="H19" s="42"/>
      <c r="I19" s="42"/>
      <c r="J19" s="42"/>
      <c r="K19" s="96"/>
      <c r="L19" s="97"/>
      <c r="M19" s="97"/>
      <c r="N19" s="98"/>
      <c r="O19" s="141"/>
      <c r="P19" s="96"/>
      <c r="Q19" s="97"/>
      <c r="R19" s="97"/>
      <c r="S19" s="98"/>
      <c r="T19" s="85"/>
      <c r="U19" s="85"/>
      <c r="V19" s="85"/>
      <c r="W19" s="143"/>
      <c r="X19" s="144"/>
      <c r="Y19" s="145"/>
      <c r="AA19" s="132"/>
      <c r="AB19" s="133"/>
      <c r="AC19" s="27"/>
      <c r="AD19" s="94"/>
      <c r="AE19" s="95"/>
      <c r="AF19" s="95"/>
      <c r="AI19" s="142"/>
      <c r="AJ19" s="146"/>
    </row>
    <row r="20" s="27" customFormat="1" ht="2" customHeight="1" spans="2:36">
      <c r="E20" s="42"/>
      <c r="F20" s="42"/>
      <c r="G20" s="42"/>
      <c r="H20" s="42"/>
      <c r="I20" s="42"/>
      <c r="J20" s="42"/>
      <c r="K20" s="135"/>
      <c r="L20" s="135"/>
      <c r="M20" s="135"/>
      <c r="N20" s="135"/>
      <c r="O20" s="42"/>
      <c r="P20" s="135"/>
      <c r="Q20" s="135"/>
      <c r="R20" s="135"/>
      <c r="S20" s="135"/>
      <c r="T20" s="85"/>
      <c r="U20" s="85"/>
      <c r="V20" s="85"/>
      <c r="W20" s="28"/>
      <c r="X20" s="28"/>
      <c r="Y20" s="28"/>
      <c r="AA20" s="132"/>
      <c r="AB20" s="133"/>
      <c r="AC20" s="27"/>
      <c r="AD20" s="94"/>
      <c r="AI20" s="142"/>
      <c r="AJ20" s="146"/>
    </row>
    <row r="21" s="27" customFormat="1" ht="15" customHeight="1" spans="2:36">
      <c r="B21" s="147" t="s">
        <v>355</v>
      </c>
      <c r="C21" s="147"/>
      <c r="D21" s="147"/>
      <c r="E21" s="147"/>
      <c r="F21" s="147"/>
      <c r="G21" s="147"/>
      <c r="H21" s="147"/>
      <c r="I21" s="147"/>
      <c r="J21" s="147"/>
      <c r="K21" s="147"/>
      <c r="L21" s="147"/>
      <c r="M21" s="147"/>
      <c r="N21" s="147"/>
      <c r="O21" s="147"/>
      <c r="P21" s="147"/>
      <c r="Q21" s="147"/>
      <c r="R21" s="147"/>
      <c r="S21" s="147"/>
      <c r="T21" s="147"/>
      <c r="U21" s="147"/>
      <c r="V21" s="147"/>
      <c r="W21" s="147"/>
      <c r="X21" s="147"/>
      <c r="Y21" s="147"/>
      <c r="Z21" s="148"/>
      <c r="AA21" s="132"/>
      <c r="AB21" s="133"/>
      <c r="AC21" s="27"/>
      <c r="AD21" s="94"/>
      <c r="AE21" s="149" t="s">
        <v>356</v>
      </c>
      <c r="AF21" s="150"/>
      <c r="AI21" s="142"/>
      <c r="AJ21" s="146"/>
    </row>
    <row r="22" s="27" customFormat="1" ht="15" customHeight="1" spans="2:36">
      <c r="B22" s="151" t="s">
        <v>357</v>
      </c>
      <c r="C22" s="151"/>
      <c r="D22" s="151"/>
      <c r="E22" s="151"/>
      <c r="F22" s="151"/>
      <c r="G22" s="151"/>
      <c r="H22" s="151"/>
      <c r="I22" s="151"/>
      <c r="J22" s="151"/>
      <c r="K22" s="151"/>
      <c r="L22" s="151"/>
      <c r="M22" s="151"/>
      <c r="N22" s="151"/>
      <c r="O22" s="151"/>
      <c r="P22" s="151"/>
      <c r="Q22" s="151"/>
      <c r="R22" s="151"/>
      <c r="S22" s="151"/>
      <c r="T22" s="151"/>
      <c r="U22" s="151"/>
      <c r="V22" s="151"/>
      <c r="W22" s="151"/>
      <c r="X22" s="151"/>
      <c r="Y22" s="151"/>
      <c r="AA22" s="132"/>
      <c r="AB22" s="133"/>
      <c r="AC22" s="27"/>
      <c r="AD22" s="94"/>
      <c r="AE22" s="150"/>
      <c r="AF22" s="152"/>
      <c r="AI22" s="142"/>
      <c r="AJ22" s="146"/>
    </row>
    <row r="23" s="27" customFormat="1" spans="2:36">
      <c r="B23" s="153" t="s">
        <v>214</v>
      </c>
      <c r="C23" s="154" t="s">
        <v>215</v>
      </c>
      <c r="D23" s="155" t="s">
        <v>216</v>
      </c>
      <c r="E23" s="156" t="s">
        <v>217</v>
      </c>
      <c r="F23" s="156"/>
      <c r="G23" s="156"/>
      <c r="H23" s="156"/>
      <c r="I23" s="156"/>
      <c r="J23" s="156"/>
      <c r="K23" s="156"/>
      <c r="L23" s="156"/>
      <c r="M23" s="156"/>
      <c r="N23" s="156"/>
      <c r="O23" s="156"/>
      <c r="P23" s="156"/>
      <c r="Q23" s="156"/>
      <c r="R23" s="156"/>
      <c r="S23" s="156"/>
      <c r="T23" s="156"/>
      <c r="U23" s="156"/>
      <c r="V23" s="156"/>
      <c r="W23" s="156"/>
      <c r="X23" s="156"/>
      <c r="Y23" s="157"/>
      <c r="AA23" s="132"/>
      <c r="AB23" s="133"/>
      <c r="AC23" s="27"/>
      <c r="AD23" s="94"/>
      <c r="AE23" s="150"/>
      <c r="AF23" s="152"/>
      <c r="AI23" s="142"/>
      <c r="AJ23" s="146"/>
    </row>
    <row r="24" s="27" customFormat="1" spans="2:36">
      <c r="B24" s="158"/>
      <c r="C24" s="159"/>
      <c r="D24" s="160"/>
      <c r="E24" s="161"/>
      <c r="F24" s="161"/>
      <c r="G24" s="161"/>
      <c r="H24" s="161"/>
      <c r="I24" s="161"/>
      <c r="J24" s="161"/>
      <c r="K24" s="161"/>
      <c r="L24" s="161"/>
      <c r="M24" s="161"/>
      <c r="N24" s="161"/>
      <c r="O24" s="161"/>
      <c r="P24" s="161"/>
      <c r="Q24" s="161"/>
      <c r="R24" s="161"/>
      <c r="S24" s="161"/>
      <c r="T24" s="161"/>
      <c r="U24" s="161"/>
      <c r="V24" s="161"/>
      <c r="W24" s="161"/>
      <c r="X24" s="161"/>
      <c r="Y24" s="162"/>
      <c r="AA24" s="132"/>
      <c r="AB24" s="133"/>
      <c r="AC24" s="27"/>
      <c r="AD24" s="94"/>
      <c r="AE24" s="150"/>
      <c r="AF24" s="152"/>
      <c r="AI24" s="142"/>
      <c r="AJ24" s="146"/>
    </row>
    <row r="25" s="27" customFormat="1" spans="2:36">
      <c r="B25" s="158"/>
      <c r="C25" s="159"/>
      <c r="D25" s="160"/>
      <c r="E25" s="161"/>
      <c r="F25" s="161"/>
      <c r="G25" s="161"/>
      <c r="H25" s="161"/>
      <c r="I25" s="161"/>
      <c r="J25" s="161"/>
      <c r="K25" s="161"/>
      <c r="L25" s="161"/>
      <c r="M25" s="161"/>
      <c r="N25" s="161"/>
      <c r="O25" s="161"/>
      <c r="P25" s="161"/>
      <c r="Q25" s="161"/>
      <c r="R25" s="161"/>
      <c r="S25" s="161"/>
      <c r="T25" s="161"/>
      <c r="U25" s="161"/>
      <c r="V25" s="161"/>
      <c r="W25" s="161"/>
      <c r="X25" s="161"/>
      <c r="Y25" s="162"/>
      <c r="AA25" s="132"/>
      <c r="AB25" s="133"/>
      <c r="AC25" s="27"/>
      <c r="AD25" s="94"/>
      <c r="AE25" s="150"/>
      <c r="AF25" s="152"/>
      <c r="AI25" s="142"/>
      <c r="AJ25" s="146"/>
    </row>
    <row r="26" s="27" customFormat="1" ht="5" customHeight="1" spans="2:36">
      <c r="B26" s="158"/>
      <c r="C26" s="159"/>
      <c r="D26" s="160"/>
      <c r="E26" s="163"/>
      <c r="F26" s="163"/>
      <c r="G26" s="163"/>
      <c r="H26" s="163"/>
      <c r="I26" s="163"/>
      <c r="J26" s="163"/>
      <c r="K26" s="163"/>
      <c r="L26" s="163"/>
      <c r="M26" s="163"/>
      <c r="N26" s="163"/>
      <c r="O26" s="163"/>
      <c r="P26" s="163"/>
      <c r="Q26" s="163"/>
      <c r="R26" s="163"/>
      <c r="S26" s="163"/>
      <c r="T26" s="163"/>
      <c r="U26" s="163"/>
      <c r="V26" s="163"/>
      <c r="W26" s="163"/>
      <c r="X26" s="163"/>
      <c r="Y26" s="164"/>
      <c r="AA26" s="132"/>
      <c r="AB26" s="133"/>
      <c r="AC26" s="27"/>
      <c r="AD26" s="94"/>
      <c r="AE26" s="150"/>
      <c r="AF26" s="152"/>
      <c r="AI26" s="142"/>
      <c r="AJ26" s="146"/>
    </row>
    <row r="27" s="27" customFormat="1" ht="31" customHeight="1" spans="2:36">
      <c r="B27" s="158"/>
      <c r="C27" s="159"/>
      <c r="D27" s="160"/>
      <c r="E27" s="165" t="s">
        <v>218</v>
      </c>
      <c r="F27" s="166" t="s">
        <v>219</v>
      </c>
      <c r="G27" s="167"/>
      <c r="H27" s="168" t="s">
        <v>220</v>
      </c>
      <c r="I27" s="169"/>
      <c r="J27" s="170" t="s">
        <v>221</v>
      </c>
      <c r="K27" s="171"/>
      <c r="L27" s="171"/>
      <c r="M27" s="171"/>
      <c r="N27" s="171"/>
      <c r="O27" s="171"/>
      <c r="P27" s="171"/>
      <c r="Q27" s="171"/>
      <c r="R27" s="171"/>
      <c r="S27" s="171"/>
      <c r="T27" s="171"/>
      <c r="U27" s="171"/>
      <c r="V27" s="171"/>
      <c r="W27" s="171"/>
      <c r="X27" s="171"/>
      <c r="Y27" s="172"/>
      <c r="AA27" s="132"/>
      <c r="AB27" s="133"/>
      <c r="AC27" s="27"/>
      <c r="AD27" s="94"/>
      <c r="AE27" s="150"/>
      <c r="AF27" s="152"/>
      <c r="AI27" s="142"/>
      <c r="AJ27" s="146"/>
    </row>
    <row r="28" s="27" customFormat="1" ht="31" customHeight="1" spans="2:36">
      <c r="B28" s="158"/>
      <c r="C28" s="159"/>
      <c r="D28" s="160"/>
      <c r="E28" s="165"/>
      <c r="F28" s="173"/>
      <c r="G28" s="174"/>
      <c r="H28" s="175"/>
      <c r="I28" s="176"/>
      <c r="J28" s="177" t="s">
        <v>223</v>
      </c>
      <c r="K28" s="178"/>
      <c r="L28" s="178"/>
      <c r="M28" s="178"/>
      <c r="N28" s="178"/>
      <c r="O28" s="178"/>
      <c r="P28" s="178"/>
      <c r="Q28" s="178"/>
      <c r="R28" s="178"/>
      <c r="S28" s="178"/>
      <c r="T28" s="178"/>
      <c r="U28" s="178"/>
      <c r="V28" s="178"/>
      <c r="W28" s="179"/>
      <c r="X28" s="180"/>
      <c r="Y28" s="172"/>
      <c r="AA28" s="132"/>
      <c r="AB28" s="133"/>
      <c r="AC28" s="27"/>
      <c r="AD28" s="94"/>
      <c r="AE28" s="181" t="s">
        <v>358</v>
      </c>
      <c r="AF28" s="181"/>
      <c r="AI28" s="142"/>
      <c r="AJ28" s="146"/>
    </row>
    <row r="29" s="27" customFormat="1" ht="31" customHeight="1" spans="2:36">
      <c r="B29" s="158"/>
      <c r="C29" s="159"/>
      <c r="D29" s="160"/>
      <c r="E29" s="165"/>
      <c r="F29" s="173"/>
      <c r="G29" s="174"/>
      <c r="H29" s="175"/>
      <c r="I29" s="176"/>
      <c r="J29" s="182" t="s">
        <v>225</v>
      </c>
      <c r="K29" s="183"/>
      <c r="L29" s="183"/>
      <c r="M29" s="183"/>
      <c r="N29" s="183"/>
      <c r="O29" s="184"/>
      <c r="P29" s="184"/>
      <c r="Q29" s="184"/>
      <c r="R29" s="185"/>
      <c r="S29" s="186"/>
      <c r="T29" s="186"/>
      <c r="U29" s="186"/>
      <c r="V29" s="186"/>
      <c r="W29" s="171"/>
      <c r="X29" s="187"/>
      <c r="Y29" s="172"/>
      <c r="AA29" s="188" t="s">
        <v>359</v>
      </c>
      <c r="AB29" s="189"/>
      <c r="AC29" s="27"/>
      <c r="AD29" s="94"/>
      <c r="AE29" s="181"/>
      <c r="AF29" s="181"/>
    </row>
    <row r="30" s="27" customFormat="1" ht="19" customHeight="1" spans="2:36">
      <c r="B30" s="158"/>
      <c r="C30" s="159"/>
      <c r="D30" s="160"/>
      <c r="E30" s="165"/>
      <c r="F30" s="190" t="s">
        <v>226</v>
      </c>
      <c r="G30" s="191"/>
      <c r="H30" s="191"/>
      <c r="I30" s="192"/>
      <c r="J30" s="193" t="s">
        <v>227</v>
      </c>
      <c r="K30" s="193"/>
      <c r="L30" s="193"/>
      <c r="M30" s="193"/>
      <c r="N30" s="193"/>
      <c r="O30" s="194"/>
      <c r="P30" s="186"/>
      <c r="Q30" s="186"/>
      <c r="R30" s="195"/>
      <c r="S30" s="186"/>
      <c r="T30" s="186"/>
      <c r="U30" s="186"/>
      <c r="V30" s="186"/>
      <c r="W30" s="171"/>
      <c r="X30" s="187"/>
      <c r="Y30" s="196" t="s">
        <v>222</v>
      </c>
      <c r="AA30" s="197"/>
      <c r="AB30" s="198"/>
      <c r="AC30" s="27"/>
      <c r="AD30" s="94"/>
      <c r="AE30" s="181"/>
      <c r="AF30" s="181"/>
    </row>
    <row r="31" s="27" customFormat="1" spans="2:36">
      <c r="B31" s="158"/>
      <c r="C31" s="159"/>
      <c r="D31" s="160"/>
      <c r="E31" s="165"/>
      <c r="F31" s="199" t="s">
        <v>228</v>
      </c>
      <c r="G31" s="199"/>
      <c r="H31" s="199"/>
      <c r="I31" s="199"/>
      <c r="J31" s="199" t="s">
        <v>229</v>
      </c>
      <c r="K31" s="199"/>
      <c r="L31" s="199"/>
      <c r="M31" s="199"/>
      <c r="N31" s="199"/>
      <c r="O31" s="200" t="s">
        <v>230</v>
      </c>
      <c r="P31" s="200"/>
      <c r="Q31" s="200"/>
      <c r="R31" s="200"/>
      <c r="S31" s="200" t="s">
        <v>231</v>
      </c>
      <c r="T31" s="200"/>
      <c r="U31" s="200"/>
      <c r="V31" s="200"/>
      <c r="W31" s="201" t="s">
        <v>232</v>
      </c>
      <c r="X31" s="202"/>
      <c r="Y31" s="196"/>
      <c r="AA31" s="197"/>
      <c r="AB31" s="198"/>
      <c r="AC31" s="27"/>
      <c r="AD31" s="94"/>
      <c r="AE31" s="181"/>
      <c r="AF31" s="181"/>
    </row>
    <row r="32" s="27" customFormat="1" spans="2:36">
      <c r="B32" s="158"/>
      <c r="C32" s="159"/>
      <c r="D32" s="160"/>
      <c r="E32" s="165"/>
      <c r="F32" s="199"/>
      <c r="G32" s="199"/>
      <c r="H32" s="199"/>
      <c r="I32" s="199"/>
      <c r="J32" s="199"/>
      <c r="K32" s="199"/>
      <c r="L32" s="199"/>
      <c r="M32" s="199"/>
      <c r="N32" s="199"/>
      <c r="O32" s="200"/>
      <c r="P32" s="200"/>
      <c r="Q32" s="200"/>
      <c r="R32" s="200"/>
      <c r="S32" s="200"/>
      <c r="T32" s="200"/>
      <c r="U32" s="200"/>
      <c r="V32" s="200"/>
      <c r="W32" s="201"/>
      <c r="X32" s="202"/>
      <c r="Y32" s="196"/>
      <c r="AA32" s="197"/>
      <c r="AB32" s="198"/>
      <c r="AC32" s="27"/>
      <c r="AD32" s="94"/>
      <c r="AE32" s="181"/>
      <c r="AF32" s="181"/>
    </row>
    <row r="33" s="27" customFormat="1" spans="2:36">
      <c r="B33" s="158"/>
      <c r="C33" s="159"/>
      <c r="D33" s="160"/>
      <c r="E33" s="165"/>
      <c r="F33" s="199"/>
      <c r="G33" s="199"/>
      <c r="H33" s="199"/>
      <c r="I33" s="199"/>
      <c r="J33" s="199"/>
      <c r="K33" s="199"/>
      <c r="L33" s="199"/>
      <c r="M33" s="199"/>
      <c r="N33" s="199"/>
      <c r="O33" s="200"/>
      <c r="P33" s="200"/>
      <c r="Q33" s="200"/>
      <c r="R33" s="200"/>
      <c r="S33" s="200"/>
      <c r="T33" s="200"/>
      <c r="U33" s="200"/>
      <c r="V33" s="200"/>
      <c r="W33" s="201"/>
      <c r="X33" s="202"/>
      <c r="Y33" s="196"/>
      <c r="AA33" s="197"/>
      <c r="AB33" s="198"/>
      <c r="AC33" s="27"/>
      <c r="AD33" s="94"/>
      <c r="AE33" s="181"/>
      <c r="AF33" s="181"/>
    </row>
    <row r="34" s="27" customFormat="1" ht="18.35" spans="2:36">
      <c r="B34" s="158"/>
      <c r="C34" s="203"/>
      <c r="D34" s="204"/>
      <c r="E34" s="165"/>
      <c r="F34" s="205" t="s">
        <v>233</v>
      </c>
      <c r="G34" s="206"/>
      <c r="H34" s="206"/>
      <c r="I34" s="206"/>
      <c r="J34" s="207" t="s">
        <v>234</v>
      </c>
      <c r="K34" s="205"/>
      <c r="L34" s="205"/>
      <c r="M34" s="631" t="s">
        <v>235</v>
      </c>
      <c r="N34" s="209"/>
      <c r="O34" s="210" t="s">
        <v>236</v>
      </c>
      <c r="P34" s="210"/>
      <c r="Q34" s="627" t="s">
        <v>235</v>
      </c>
      <c r="R34" s="210"/>
      <c r="S34" s="210" t="s">
        <v>237</v>
      </c>
      <c r="T34" s="210"/>
      <c r="U34" s="628" t="s">
        <v>235</v>
      </c>
      <c r="V34" s="211"/>
      <c r="W34" s="212" t="s">
        <v>238</v>
      </c>
      <c r="X34" s="213"/>
      <c r="Y34" s="214"/>
      <c r="AA34" s="197"/>
      <c r="AB34" s="198"/>
      <c r="AC34" s="27"/>
      <c r="AD34" s="94"/>
      <c r="AE34" s="181"/>
      <c r="AF34" s="181"/>
    </row>
    <row r="35" s="27" customFormat="1" ht="21" customHeight="1" spans="2:36">
      <c r="B35" s="158"/>
      <c r="C35" s="159" t="s">
        <v>239</v>
      </c>
      <c r="D35" s="215" t="s">
        <v>240</v>
      </c>
      <c r="E35" s="165"/>
      <c r="F35" s="216" t="s">
        <v>241</v>
      </c>
      <c r="G35" s="217" t="s">
        <v>242</v>
      </c>
      <c r="H35" s="217"/>
      <c r="I35" s="629" t="s">
        <v>243</v>
      </c>
      <c r="J35" s="218"/>
      <c r="K35" s="217" t="s">
        <v>244</v>
      </c>
      <c r="L35" s="217"/>
      <c r="M35" s="217"/>
      <c r="N35" s="630" t="s">
        <v>245</v>
      </c>
      <c r="O35" s="219"/>
      <c r="P35" s="217" t="s">
        <v>246</v>
      </c>
      <c r="Q35" s="217"/>
      <c r="R35" s="220" t="s">
        <v>247</v>
      </c>
      <c r="S35" s="220"/>
      <c r="T35" s="221" t="s">
        <v>248</v>
      </c>
      <c r="U35" s="221"/>
      <c r="V35" s="629" t="s">
        <v>243</v>
      </c>
      <c r="W35" s="218"/>
      <c r="X35" s="217" t="s">
        <v>249</v>
      </c>
      <c r="Y35" s="222"/>
      <c r="AA35" s="197"/>
      <c r="AB35" s="198"/>
      <c r="AC35" s="27"/>
      <c r="AD35" s="94"/>
      <c r="AE35" s="181"/>
      <c r="AF35" s="181"/>
    </row>
    <row r="36" s="27" customFormat="1" spans="2:36">
      <c r="B36" s="158"/>
      <c r="C36" s="159"/>
      <c r="D36" s="223"/>
      <c r="E36" s="165"/>
      <c r="F36" s="216"/>
      <c r="G36" s="224" t="s">
        <v>250</v>
      </c>
      <c r="H36" s="224"/>
      <c r="I36" s="224"/>
      <c r="J36" s="224"/>
      <c r="K36" s="224" t="s">
        <v>251</v>
      </c>
      <c r="L36" s="224"/>
      <c r="M36" s="224"/>
      <c r="N36" s="224"/>
      <c r="O36" s="224"/>
      <c r="P36" s="224" t="s">
        <v>252</v>
      </c>
      <c r="Q36" s="224"/>
      <c r="R36" s="224"/>
      <c r="S36" s="224"/>
      <c r="T36" s="224" t="s">
        <v>253</v>
      </c>
      <c r="U36" s="224"/>
      <c r="V36" s="224"/>
      <c r="W36" s="224"/>
      <c r="X36" s="224" t="s">
        <v>254</v>
      </c>
      <c r="Y36" s="225"/>
      <c r="AA36" s="197"/>
      <c r="AB36" s="198"/>
      <c r="AC36" s="27"/>
      <c r="AD36" s="94"/>
      <c r="AE36" s="181"/>
      <c r="AF36" s="181"/>
    </row>
    <row r="37" s="27" customFormat="1" spans="2:36">
      <c r="B37" s="158"/>
      <c r="C37" s="159"/>
      <c r="D37" s="223"/>
      <c r="E37" s="165"/>
      <c r="F37" s="216"/>
      <c r="G37" s="224"/>
      <c r="H37" s="224"/>
      <c r="I37" s="224"/>
      <c r="J37" s="224"/>
      <c r="K37" s="224"/>
      <c r="L37" s="226"/>
      <c r="M37" s="226"/>
      <c r="N37" s="226"/>
      <c r="O37" s="224"/>
      <c r="P37" s="224"/>
      <c r="Q37" s="224"/>
      <c r="R37" s="224"/>
      <c r="S37" s="224"/>
      <c r="T37" s="224"/>
      <c r="U37" s="224"/>
      <c r="V37" s="224"/>
      <c r="W37" s="224"/>
      <c r="X37" s="224"/>
      <c r="Y37" s="225"/>
      <c r="AA37" s="197"/>
      <c r="AB37" s="198"/>
      <c r="AC37" s="27"/>
      <c r="AD37" s="94"/>
      <c r="AE37" s="227" t="s">
        <v>360</v>
      </c>
      <c r="AF37" s="227"/>
    </row>
    <row r="38" s="27" customFormat="1" ht="11" customHeight="1" spans="2:36">
      <c r="B38" s="158"/>
      <c r="C38" s="159"/>
      <c r="D38" s="223"/>
      <c r="E38" s="165"/>
      <c r="F38" s="216"/>
      <c r="G38" s="224"/>
      <c r="H38" s="224"/>
      <c r="I38" s="224"/>
      <c r="J38" s="224"/>
      <c r="K38" s="224"/>
      <c r="L38" s="224"/>
      <c r="M38" s="224"/>
      <c r="N38" s="224"/>
      <c r="O38" s="224"/>
      <c r="P38" s="224"/>
      <c r="Q38" s="224"/>
      <c r="R38" s="224"/>
      <c r="S38" s="224"/>
      <c r="T38" s="224"/>
      <c r="U38" s="224"/>
      <c r="V38" s="224"/>
      <c r="W38" s="224"/>
      <c r="X38" s="224"/>
      <c r="Y38" s="225"/>
      <c r="AA38" s="197"/>
      <c r="AB38" s="198"/>
      <c r="AC38" s="27"/>
      <c r="AD38" s="94"/>
      <c r="AE38" s="227"/>
      <c r="AF38" s="227"/>
    </row>
    <row r="39" s="27" customFormat="1" ht="18.35" spans="2:36">
      <c r="B39" s="158"/>
      <c r="C39" s="159"/>
      <c r="D39" s="223"/>
      <c r="E39" s="165"/>
      <c r="F39" s="216"/>
      <c r="G39" s="228" t="s">
        <v>255</v>
      </c>
      <c r="H39" s="228"/>
      <c r="I39" s="228"/>
      <c r="J39" s="228"/>
      <c r="K39" s="228"/>
      <c r="L39" s="228"/>
      <c r="M39" s="228"/>
      <c r="N39" s="228"/>
      <c r="O39" s="228"/>
      <c r="P39" s="228"/>
      <c r="Q39" s="228"/>
      <c r="R39" s="228"/>
      <c r="S39" s="228"/>
      <c r="T39" s="228"/>
      <c r="U39" s="228"/>
      <c r="V39" s="228"/>
      <c r="W39" s="228"/>
      <c r="X39" s="228"/>
      <c r="Y39" s="229"/>
      <c r="AA39" s="197"/>
      <c r="AB39" s="198"/>
      <c r="AC39" s="27"/>
      <c r="AD39" s="94"/>
      <c r="AE39" s="227"/>
      <c r="AF39" s="227"/>
    </row>
    <row r="40" s="27" customFormat="1" spans="2:36">
      <c r="B40" s="158"/>
      <c r="C40" s="159"/>
      <c r="D40" s="230" t="s">
        <v>256</v>
      </c>
      <c r="E40" s="230"/>
      <c r="F40" s="230"/>
      <c r="G40" s="230"/>
      <c r="H40" s="230"/>
      <c r="I40" s="230"/>
      <c r="J40" s="230"/>
      <c r="K40" s="230"/>
      <c r="L40" s="230"/>
      <c r="M40" s="230"/>
      <c r="N40" s="230"/>
      <c r="O40" s="230"/>
      <c r="P40" s="230"/>
      <c r="Q40" s="230"/>
      <c r="R40" s="230"/>
      <c r="S40" s="230"/>
      <c r="T40" s="231" t="s">
        <v>361</v>
      </c>
      <c r="U40" s="231"/>
      <c r="V40" s="231"/>
      <c r="W40" s="231"/>
      <c r="X40" s="231"/>
      <c r="Y40" s="231"/>
      <c r="AA40" s="197"/>
      <c r="AB40" s="198"/>
      <c r="AC40" s="27"/>
      <c r="AD40" s="94"/>
      <c r="AE40" s="227"/>
      <c r="AF40" s="227"/>
    </row>
    <row r="41" s="27" customFormat="1" spans="2:36">
      <c r="B41" s="158"/>
      <c r="C41" s="159"/>
      <c r="D41" s="232" t="s">
        <v>258</v>
      </c>
      <c r="E41" s="233"/>
      <c r="F41" s="233"/>
      <c r="G41" s="233"/>
      <c r="H41" s="233"/>
      <c r="I41" s="233"/>
      <c r="J41" s="233"/>
      <c r="K41" s="233"/>
      <c r="L41" s="233"/>
      <c r="M41" s="233"/>
      <c r="N41" s="233"/>
      <c r="O41" s="233"/>
      <c r="P41" s="233"/>
      <c r="Q41" s="233"/>
      <c r="R41" s="233"/>
      <c r="S41" s="233"/>
      <c r="T41" s="234"/>
      <c r="U41" s="234"/>
      <c r="V41" s="234"/>
      <c r="W41" s="234"/>
      <c r="X41" s="234"/>
      <c r="Y41" s="234"/>
      <c r="AA41" s="197"/>
      <c r="AB41" s="198"/>
      <c r="AC41" s="27"/>
      <c r="AD41" s="94"/>
      <c r="AE41" s="181" t="s">
        <v>362</v>
      </c>
      <c r="AF41" s="181"/>
    </row>
    <row r="42" s="27" customFormat="1" ht="18" customHeight="1" spans="2:36">
      <c r="B42" s="235" t="s">
        <v>259</v>
      </c>
      <c r="C42" s="159"/>
      <c r="D42" s="236" t="s">
        <v>260</v>
      </c>
      <c r="E42" s="236"/>
      <c r="F42" s="236"/>
      <c r="G42" s="236"/>
      <c r="H42" s="236"/>
      <c r="I42" s="236"/>
      <c r="J42" s="236"/>
      <c r="K42" s="236"/>
      <c r="L42" s="236"/>
      <c r="M42" s="236"/>
      <c r="N42" s="236"/>
      <c r="O42" s="236"/>
      <c r="P42" s="236"/>
      <c r="Q42" s="236"/>
      <c r="R42" s="236"/>
      <c r="S42" s="236"/>
      <c r="T42" s="234"/>
      <c r="U42" s="234"/>
      <c r="V42" s="234"/>
      <c r="W42" s="234"/>
      <c r="X42" s="234"/>
      <c r="Y42" s="234"/>
      <c r="AA42" s="197"/>
      <c r="AB42" s="198"/>
      <c r="AC42" s="27"/>
      <c r="AD42" s="94"/>
      <c r="AE42" s="181"/>
      <c r="AF42" s="227"/>
    </row>
    <row r="43" s="27" customFormat="1" ht="18" customHeight="1" spans="2:36">
      <c r="B43" s="158"/>
      <c r="C43" s="159"/>
      <c r="D43" s="236" t="s">
        <v>261</v>
      </c>
      <c r="E43" s="236"/>
      <c r="F43" s="236"/>
      <c r="G43" s="236"/>
      <c r="H43" s="236"/>
      <c r="I43" s="236"/>
      <c r="J43" s="236"/>
      <c r="K43" s="236"/>
      <c r="L43" s="236"/>
      <c r="M43" s="236"/>
      <c r="N43" s="236"/>
      <c r="O43" s="236"/>
      <c r="P43" s="236"/>
      <c r="Q43" s="236"/>
      <c r="R43" s="236"/>
      <c r="S43" s="236"/>
      <c r="T43" s="234"/>
      <c r="U43" s="234"/>
      <c r="V43" s="234"/>
      <c r="W43" s="234"/>
      <c r="X43" s="234"/>
      <c r="Y43" s="234"/>
      <c r="AA43" s="237" t="s">
        <v>363</v>
      </c>
      <c r="AB43" s="238"/>
      <c r="AC43" s="27"/>
      <c r="AD43" s="94"/>
      <c r="AE43" s="181"/>
      <c r="AF43" s="227"/>
    </row>
    <row r="44" s="27" customFormat="1" ht="18" customHeight="1" spans="2:36">
      <c r="B44" s="239"/>
      <c r="C44" s="159"/>
      <c r="D44" s="240" t="s">
        <v>262</v>
      </c>
      <c r="E44" s="240"/>
      <c r="F44" s="240"/>
      <c r="G44" s="240"/>
      <c r="H44" s="240"/>
      <c r="I44" s="240"/>
      <c r="J44" s="240"/>
      <c r="K44" s="240"/>
      <c r="L44" s="240"/>
      <c r="M44" s="240"/>
      <c r="N44" s="240"/>
      <c r="O44" s="240"/>
      <c r="P44" s="240"/>
      <c r="Q44" s="240"/>
      <c r="R44" s="240"/>
      <c r="S44" s="240"/>
      <c r="T44" s="234"/>
      <c r="U44" s="234"/>
      <c r="V44" s="234"/>
      <c r="W44" s="234"/>
      <c r="X44" s="234"/>
      <c r="Y44" s="234"/>
      <c r="AA44" s="237"/>
      <c r="AB44" s="238"/>
      <c r="AC44" s="27"/>
      <c r="AD44" s="94"/>
      <c r="AE44" s="181"/>
      <c r="AF44" s="227"/>
    </row>
    <row r="45" s="27" customFormat="1" spans="2:36">
      <c r="B45" s="241" t="s">
        <v>263</v>
      </c>
      <c r="C45" s="242"/>
      <c r="D45" s="243" t="s">
        <v>264</v>
      </c>
      <c r="E45" s="244" t="s">
        <v>265</v>
      </c>
      <c r="F45" s="244"/>
      <c r="G45" s="244"/>
      <c r="H45" s="244"/>
      <c r="I45" s="244"/>
      <c r="J45" s="244"/>
      <c r="K45" s="244"/>
      <c r="L45" s="244"/>
      <c r="M45" s="244"/>
      <c r="N45" s="244"/>
      <c r="O45" s="244"/>
      <c r="P45" s="244"/>
      <c r="Q45" s="244"/>
      <c r="R45" s="244"/>
      <c r="S45" s="244"/>
      <c r="T45" s="234"/>
      <c r="U45" s="234"/>
      <c r="V45" s="234"/>
      <c r="W45" s="234"/>
      <c r="X45" s="234"/>
      <c r="Y45" s="234"/>
      <c r="AA45" s="237"/>
      <c r="AB45" s="238"/>
      <c r="AC45" s="27"/>
      <c r="AD45" s="94"/>
      <c r="AE45" s="181"/>
      <c r="AF45" s="227"/>
    </row>
    <row r="46" s="27" customFormat="1" ht="22" customHeight="1" spans="2:36">
      <c r="B46" s="241"/>
      <c r="C46" s="245"/>
      <c r="D46" s="243"/>
      <c r="E46" s="244"/>
      <c r="F46" s="244"/>
      <c r="G46" s="244"/>
      <c r="H46" s="244"/>
      <c r="I46" s="244"/>
      <c r="J46" s="244"/>
      <c r="K46" s="244"/>
      <c r="L46" s="244"/>
      <c r="M46" s="244"/>
      <c r="N46" s="244"/>
      <c r="O46" s="244"/>
      <c r="P46" s="244"/>
      <c r="Q46" s="244"/>
      <c r="R46" s="244"/>
      <c r="S46" s="244"/>
      <c r="T46" s="234"/>
      <c r="U46" s="234"/>
      <c r="V46" s="234"/>
      <c r="W46" s="234"/>
      <c r="X46" s="234"/>
      <c r="Y46" s="234"/>
      <c r="AA46" s="237"/>
      <c r="AB46" s="238"/>
      <c r="AC46" s="27"/>
      <c r="AD46" s="94"/>
      <c r="AE46" s="227" t="s">
        <v>364</v>
      </c>
      <c r="AF46" s="227"/>
      <c r="AI46" s="246"/>
      <c r="AJ46" s="246"/>
    </row>
    <row r="47" s="27" customFormat="1" ht="22" customHeight="1" spans="2:36">
      <c r="B47" s="31" t="s">
        <v>365</v>
      </c>
      <c r="C47" s="31"/>
      <c r="D47" s="31"/>
      <c r="E47" s="31"/>
      <c r="F47" s="31"/>
      <c r="G47" s="31"/>
      <c r="H47" s="31"/>
      <c r="I47" s="31"/>
      <c r="J47" s="31"/>
      <c r="K47" s="31"/>
      <c r="L47" s="31"/>
      <c r="M47" s="31"/>
      <c r="N47" s="31"/>
      <c r="O47" s="31"/>
      <c r="P47" s="31"/>
      <c r="Q47" s="31"/>
      <c r="R47" s="31"/>
      <c r="S47" s="31"/>
      <c r="T47" s="31"/>
      <c r="U47" s="31"/>
      <c r="V47" s="31"/>
      <c r="W47" s="31"/>
      <c r="X47" s="31"/>
      <c r="Y47" s="31"/>
      <c r="AA47" s="237"/>
      <c r="AB47" s="238"/>
      <c r="AC47" s="27"/>
      <c r="AD47" s="94"/>
      <c r="AE47" s="227"/>
      <c r="AF47" s="227"/>
    </row>
    <row r="48" s="27" customFormat="1" spans="2:36">
      <c r="B48" s="245"/>
      <c r="C48" s="245"/>
      <c r="D48" s="245"/>
      <c r="E48" s="245"/>
      <c r="F48" s="245"/>
      <c r="G48" s="245"/>
      <c r="H48" s="245"/>
      <c r="I48" s="245"/>
      <c r="J48" s="245"/>
      <c r="K48" s="245"/>
      <c r="L48" s="245"/>
      <c r="M48" s="245"/>
      <c r="N48" s="245"/>
      <c r="O48" s="245"/>
      <c r="P48" s="245"/>
      <c r="Q48" s="245"/>
      <c r="R48" s="245"/>
      <c r="S48" s="245"/>
      <c r="T48" s="245"/>
      <c r="U48" s="245"/>
      <c r="V48" s="245"/>
      <c r="W48" s="245"/>
      <c r="X48" s="245"/>
      <c r="Y48" s="245"/>
      <c r="AA48" s="237"/>
      <c r="AB48" s="238"/>
      <c r="AC48" s="27"/>
      <c r="AD48" s="94"/>
      <c r="AE48" s="227"/>
      <c r="AF48" s="227"/>
    </row>
    <row r="49" s="27" customFormat="1" ht="19.2" spans="2:36">
      <c r="B49" s="245"/>
      <c r="C49" s="245"/>
      <c r="D49" s="245"/>
      <c r="E49" s="245"/>
      <c r="F49" s="245"/>
      <c r="G49" s="245"/>
      <c r="H49" s="245"/>
      <c r="I49" s="245"/>
      <c r="J49" s="245"/>
      <c r="K49" s="245"/>
      <c r="L49" s="245"/>
      <c r="M49" s="245"/>
      <c r="N49" s="245"/>
      <c r="O49" s="245"/>
      <c r="P49" s="245"/>
      <c r="Q49" s="245"/>
      <c r="R49" s="245"/>
      <c r="S49" s="245"/>
      <c r="T49" s="245"/>
      <c r="U49" s="245"/>
      <c r="V49" s="245"/>
      <c r="W49" s="245"/>
      <c r="X49" s="245"/>
      <c r="Y49" s="245"/>
      <c r="AA49" s="237"/>
      <c r="AB49" s="238"/>
      <c r="AC49" s="27"/>
      <c r="AD49" s="94"/>
      <c r="AE49" s="227"/>
      <c r="AF49" s="227"/>
      <c r="AI49" s="246"/>
      <c r="AJ49" s="246"/>
    </row>
    <row r="50" s="27" customFormat="1" spans="2:36">
      <c r="B50" s="245"/>
      <c r="C50" s="245"/>
      <c r="D50" s="245"/>
      <c r="E50" s="245"/>
      <c r="F50" s="245"/>
      <c r="G50" s="245"/>
      <c r="H50" s="245"/>
      <c r="I50" s="245"/>
      <c r="J50" s="245"/>
      <c r="K50" s="245"/>
      <c r="L50" s="245"/>
      <c r="M50" s="245"/>
      <c r="N50" s="245"/>
      <c r="O50" s="245"/>
      <c r="P50" s="245"/>
      <c r="Q50" s="245"/>
      <c r="R50" s="245"/>
      <c r="S50" s="245"/>
      <c r="T50" s="245"/>
      <c r="U50" s="245"/>
      <c r="V50" s="245"/>
      <c r="W50" s="245"/>
      <c r="X50" s="245"/>
      <c r="Y50" s="245"/>
      <c r="AA50" s="237"/>
      <c r="AB50" s="238"/>
      <c r="AC50" s="27"/>
      <c r="AD50" s="94"/>
      <c r="AE50" s="227"/>
      <c r="AF50" s="227"/>
    </row>
    <row r="51" s="27" customFormat="1" spans="2:36">
      <c r="B51" s="245"/>
      <c r="C51" s="245"/>
      <c r="D51" s="245"/>
      <c r="E51" s="245"/>
      <c r="F51" s="245"/>
      <c r="G51" s="245"/>
      <c r="H51" s="245"/>
      <c r="I51" s="245"/>
      <c r="J51" s="245"/>
      <c r="K51" s="245"/>
      <c r="L51" s="245"/>
      <c r="M51" s="245"/>
      <c r="N51" s="245"/>
      <c r="O51" s="245"/>
      <c r="P51" s="245"/>
      <c r="Q51" s="245"/>
      <c r="R51" s="245"/>
      <c r="S51" s="245"/>
      <c r="T51" s="245"/>
      <c r="U51" s="245"/>
      <c r="V51" s="245"/>
      <c r="W51" s="245"/>
      <c r="X51" s="245"/>
      <c r="Y51" s="245"/>
      <c r="AA51" s="237"/>
      <c r="AB51" s="238"/>
      <c r="AC51" s="27"/>
      <c r="AD51" s="94"/>
      <c r="AE51" s="227"/>
      <c r="AF51" s="227"/>
    </row>
    <row r="52" s="27" customFormat="1" spans="2:36">
      <c r="B52" s="31"/>
      <c r="C52" s="31"/>
      <c r="D52" s="31"/>
      <c r="E52" s="31"/>
      <c r="F52" s="31"/>
      <c r="G52" s="31"/>
      <c r="H52" s="31"/>
      <c r="I52" s="31"/>
      <c r="J52" s="31"/>
      <c r="K52" s="31"/>
      <c r="L52" s="31"/>
      <c r="M52" s="31"/>
      <c r="N52" s="31"/>
      <c r="O52" s="31"/>
      <c r="P52" s="31"/>
      <c r="Q52" s="31"/>
      <c r="R52" s="31"/>
      <c r="S52" s="31"/>
      <c r="T52" s="31"/>
      <c r="U52" s="31"/>
      <c r="V52" s="31"/>
      <c r="W52" s="31"/>
      <c r="X52" s="31"/>
      <c r="Y52" s="31"/>
      <c r="AA52" s="237"/>
      <c r="AB52" s="238"/>
      <c r="AC52" s="27"/>
      <c r="AD52" s="94"/>
      <c r="AE52" s="227"/>
      <c r="AF52" s="227"/>
    </row>
    <row r="53" s="27" customFormat="1" spans="2:36">
      <c r="B53" s="31" t="s">
        <v>366</v>
      </c>
      <c r="C53" s="31"/>
      <c r="D53" s="31"/>
      <c r="E53" s="31"/>
      <c r="F53" s="31"/>
      <c r="G53" s="31"/>
      <c r="H53" s="31"/>
      <c r="I53" s="31"/>
      <c r="J53" s="31"/>
      <c r="K53" s="31"/>
      <c r="L53" s="31"/>
      <c r="M53" s="31"/>
      <c r="N53" s="31"/>
      <c r="O53" s="31"/>
      <c r="P53" s="31"/>
      <c r="Q53" s="31"/>
      <c r="R53" s="31"/>
      <c r="S53" s="31"/>
      <c r="T53" s="31"/>
      <c r="U53" s="31"/>
      <c r="V53" s="31"/>
      <c r="W53" s="31"/>
      <c r="X53" s="31"/>
      <c r="Y53" s="31"/>
      <c r="AA53" s="237"/>
      <c r="AB53" s="238"/>
      <c r="AC53" s="27"/>
      <c r="AD53" s="94"/>
      <c r="AE53" s="227"/>
      <c r="AF53" s="227"/>
    </row>
    <row r="54" s="27" customFormat="1" ht="14" customHeight="1" spans="2:36">
      <c r="B54" s="245" t="s">
        <v>367</v>
      </c>
      <c r="C54" s="245"/>
      <c r="D54" s="245"/>
      <c r="E54" s="245"/>
      <c r="F54" s="245"/>
      <c r="G54" s="245"/>
      <c r="H54" s="245"/>
      <c r="I54" s="245"/>
      <c r="J54" s="245"/>
      <c r="K54" s="245"/>
      <c r="L54" s="245"/>
      <c r="M54" s="245"/>
      <c r="N54" s="245"/>
      <c r="O54" s="245"/>
      <c r="P54" s="245"/>
      <c r="Q54" s="245"/>
      <c r="R54" s="245"/>
      <c r="S54" s="245"/>
      <c r="T54" s="245"/>
      <c r="U54" s="245"/>
      <c r="V54" s="245"/>
      <c r="W54" s="245"/>
      <c r="X54" s="245"/>
      <c r="Y54" s="245"/>
      <c r="AA54" s="237"/>
      <c r="AB54" s="238"/>
      <c r="AC54" s="27"/>
      <c r="AD54" s="94"/>
      <c r="AE54" s="227"/>
      <c r="AF54" s="227"/>
    </row>
    <row r="55" s="27" customFormat="1" ht="40" customHeight="1" spans="2:36">
      <c r="B55" s="245"/>
      <c r="C55" s="245"/>
      <c r="D55" s="245"/>
      <c r="E55" s="245"/>
      <c r="F55" s="245"/>
      <c r="G55" s="245"/>
      <c r="H55" s="245"/>
      <c r="I55" s="245"/>
      <c r="J55" s="245"/>
      <c r="K55" s="245"/>
      <c r="L55" s="245"/>
      <c r="M55" s="245"/>
      <c r="N55" s="245"/>
      <c r="O55" s="245"/>
      <c r="P55" s="245"/>
      <c r="Q55" s="245"/>
      <c r="R55" s="245"/>
      <c r="S55" s="245"/>
      <c r="T55" s="245"/>
      <c r="U55" s="245"/>
      <c r="V55" s="245"/>
      <c r="W55" s="245"/>
      <c r="X55" s="245"/>
      <c r="Y55" s="245"/>
      <c r="AA55" s="237"/>
      <c r="AB55" s="238"/>
      <c r="AC55" s="27"/>
      <c r="AD55" s="94"/>
      <c r="AE55" s="181" t="s">
        <v>368</v>
      </c>
      <c r="AF55" s="247"/>
    </row>
    <row r="56" s="27" customFormat="1" ht="124" customHeight="1" spans="2:36">
      <c r="B56" s="68" t="s">
        <v>369</v>
      </c>
      <c r="C56" s="68"/>
      <c r="D56" s="68"/>
      <c r="E56" s="68"/>
      <c r="F56" s="68"/>
      <c r="G56" s="68"/>
      <c r="H56" s="68"/>
      <c r="I56" s="68"/>
      <c r="J56" s="68"/>
      <c r="K56" s="68"/>
      <c r="L56" s="68"/>
      <c r="M56" s="68"/>
      <c r="N56" s="68"/>
      <c r="O56" s="68"/>
      <c r="P56" s="68"/>
      <c r="Q56" s="68"/>
      <c r="R56" s="68"/>
      <c r="S56" s="68"/>
      <c r="T56" s="68"/>
      <c r="U56" s="68"/>
      <c r="V56" s="68"/>
      <c r="W56" s="68"/>
      <c r="X56" s="68"/>
      <c r="Y56" s="68"/>
      <c r="AA56" s="237"/>
      <c r="AB56" s="238"/>
      <c r="AC56" s="27"/>
      <c r="AD56" s="94"/>
      <c r="AE56" s="248" t="s">
        <v>370</v>
      </c>
      <c r="AF56" s="249"/>
    </row>
    <row r="57" s="27" customFormat="1" ht="19.2" spans="2:36">
      <c r="B57" s="245" t="s">
        <v>371</v>
      </c>
      <c r="C57" s="245"/>
      <c r="D57" s="245"/>
      <c r="E57" s="245"/>
      <c r="F57" s="245"/>
      <c r="G57" s="245"/>
      <c r="H57" s="245"/>
      <c r="I57" s="245"/>
      <c r="J57" s="245"/>
      <c r="K57" s="245"/>
      <c r="L57" s="245"/>
      <c r="M57" s="245"/>
      <c r="N57" s="245"/>
      <c r="O57" s="245"/>
      <c r="P57" s="245"/>
      <c r="Q57" s="245"/>
      <c r="R57" s="245"/>
      <c r="S57" s="245"/>
      <c r="T57" s="245"/>
      <c r="U57" s="245"/>
      <c r="V57" s="245"/>
      <c r="W57" s="245"/>
      <c r="X57" s="245"/>
      <c r="Y57" s="245"/>
      <c r="AA57" s="237"/>
      <c r="AB57" s="238"/>
      <c r="AC57" s="27"/>
      <c r="AD57" s="94"/>
      <c r="AE57" s="250"/>
      <c r="AF57" s="250"/>
      <c r="AI57" s="247"/>
      <c r="AJ57" s="247"/>
    </row>
    <row r="58" s="27" customFormat="1" ht="38" customHeight="1" spans="2:36">
      <c r="B58" s="245"/>
      <c r="C58" s="245"/>
      <c r="D58" s="245"/>
      <c r="E58" s="245"/>
      <c r="F58" s="245"/>
      <c r="G58" s="245"/>
      <c r="H58" s="245"/>
      <c r="I58" s="245"/>
      <c r="J58" s="245"/>
      <c r="K58" s="245"/>
      <c r="L58" s="245"/>
      <c r="M58" s="245"/>
      <c r="N58" s="245"/>
      <c r="O58" s="245"/>
      <c r="P58" s="245"/>
      <c r="Q58" s="245"/>
      <c r="R58" s="245"/>
      <c r="S58" s="245"/>
      <c r="T58" s="245"/>
      <c r="U58" s="245"/>
      <c r="V58" s="245"/>
      <c r="W58" s="245"/>
      <c r="X58" s="245"/>
      <c r="Y58" s="245"/>
      <c r="AA58" s="237"/>
      <c r="AB58" s="238"/>
      <c r="AC58" s="27"/>
      <c r="AD58" s="94"/>
      <c r="AE58" s="251" t="s">
        <v>372</v>
      </c>
      <c r="AF58" s="251"/>
      <c r="AI58" s="247"/>
      <c r="AJ58" s="247"/>
    </row>
    <row r="59" s="27" customFormat="1" ht="20" spans="2:36">
      <c r="B59" s="245"/>
      <c r="C59" s="245"/>
      <c r="D59" s="245"/>
      <c r="E59" s="245"/>
      <c r="F59" s="245"/>
      <c r="G59" s="245"/>
      <c r="H59" s="245"/>
      <c r="I59" s="245"/>
      <c r="J59" s="245"/>
      <c r="K59" s="245"/>
      <c r="L59" s="245"/>
      <c r="M59" s="245"/>
      <c r="N59" s="245"/>
      <c r="O59" s="245"/>
      <c r="P59" s="245"/>
      <c r="Q59" s="245"/>
      <c r="R59" s="245"/>
      <c r="S59" s="245"/>
      <c r="T59" s="245"/>
      <c r="U59" s="245"/>
      <c r="V59" s="245"/>
      <c r="W59" s="245"/>
      <c r="X59" s="245"/>
      <c r="Y59" s="245"/>
      <c r="AA59" s="237"/>
      <c r="AB59" s="238"/>
      <c r="AC59" s="27"/>
      <c r="AD59" s="94"/>
      <c r="AE59" s="252" t="s">
        <v>373</v>
      </c>
      <c r="AF59" s="253"/>
      <c r="AI59" s="247"/>
      <c r="AJ59" s="247"/>
    </row>
    <row r="60" s="27" customFormat="1" spans="2:36">
      <c r="B60" s="245"/>
      <c r="C60" s="245"/>
      <c r="D60" s="245"/>
      <c r="E60" s="245"/>
      <c r="F60" s="245"/>
      <c r="G60" s="245"/>
      <c r="H60" s="245"/>
      <c r="I60" s="245"/>
      <c r="J60" s="245"/>
      <c r="K60" s="245"/>
      <c r="L60" s="245"/>
      <c r="M60" s="245"/>
      <c r="N60" s="245"/>
      <c r="O60" s="245"/>
      <c r="P60" s="245"/>
      <c r="Q60" s="245"/>
      <c r="R60" s="245"/>
      <c r="S60" s="245"/>
      <c r="T60" s="245"/>
      <c r="U60" s="245"/>
      <c r="V60" s="245"/>
      <c r="W60" s="245"/>
      <c r="X60" s="245"/>
      <c r="Y60" s="245"/>
      <c r="AA60" s="237"/>
      <c r="AB60" s="238"/>
      <c r="AC60" s="27"/>
      <c r="AD60" s="94"/>
      <c r="AE60" s="251" t="s">
        <v>374</v>
      </c>
      <c r="AF60" s="251"/>
      <c r="AI60" s="142"/>
      <c r="AJ60" s="142"/>
    </row>
    <row r="61" s="79" customFormat="1" ht="3" customHeight="1" spans="2:36">
      <c r="B61" s="31"/>
      <c r="C61" s="31"/>
      <c r="D61" s="31"/>
      <c r="E61" s="31"/>
      <c r="F61" s="31"/>
      <c r="G61" s="31"/>
      <c r="H61" s="31"/>
      <c r="I61" s="31"/>
      <c r="J61" s="31"/>
      <c r="K61" s="31"/>
      <c r="L61" s="31"/>
      <c r="M61" s="31"/>
      <c r="N61" s="31"/>
      <c r="O61" s="31"/>
      <c r="P61" s="31"/>
      <c r="Q61" s="31"/>
      <c r="R61" s="31"/>
      <c r="S61" s="31"/>
      <c r="T61" s="31"/>
      <c r="U61" s="31"/>
      <c r="V61" s="31"/>
      <c r="W61" s="31"/>
      <c r="X61" s="31"/>
      <c r="Y61" s="31"/>
      <c r="AA61" s="238"/>
      <c r="AB61" s="238"/>
      <c r="AC61" s="79"/>
      <c r="AD61" s="94"/>
      <c r="AE61" s="251"/>
      <c r="AF61" s="254"/>
      <c r="AI61" s="248" t="s">
        <v>375</v>
      </c>
      <c r="AJ61" s="142"/>
    </row>
    <row r="62" ht="19.2" spans="2:36">
      <c r="B62" s="255" t="s">
        <v>376</v>
      </c>
      <c r="C62" s="256"/>
      <c r="D62" s="256"/>
      <c r="E62" s="256"/>
      <c r="F62" s="256"/>
      <c r="G62" s="256"/>
      <c r="H62" s="256"/>
      <c r="I62" s="256"/>
      <c r="J62" s="256"/>
      <c r="K62" s="256"/>
      <c r="L62" s="256"/>
      <c r="M62" s="256"/>
      <c r="N62" s="256"/>
      <c r="O62" s="256"/>
      <c r="P62" s="256"/>
      <c r="Q62" s="256"/>
      <c r="R62" s="256"/>
      <c r="S62" s="256"/>
      <c r="T62" s="256"/>
      <c r="U62" s="256"/>
      <c r="V62" s="256"/>
      <c r="W62" s="256"/>
      <c r="X62" s="256"/>
      <c r="Y62" s="256"/>
      <c r="Z62" s="256"/>
      <c r="AA62" s="256"/>
      <c r="AB62" s="256"/>
      <c r="AC62" s="257"/>
      <c r="AD62" s="258"/>
      <c r="AE62" s="251"/>
      <c r="AF62" s="254"/>
      <c r="AI62" s="181"/>
      <c r="AJ62" s="247"/>
    </row>
    <row r="63" spans="2:36">
      <c r="B63" s="256" t="s">
        <v>377</v>
      </c>
      <c r="C63" s="256"/>
      <c r="D63" s="256"/>
      <c r="E63" s="256"/>
      <c r="F63" s="256"/>
      <c r="G63" s="256"/>
      <c r="H63" s="256"/>
      <c r="I63" s="256"/>
      <c r="J63" s="256"/>
      <c r="K63" s="256"/>
      <c r="L63" s="256"/>
      <c r="M63" s="256"/>
      <c r="N63" s="256"/>
      <c r="O63" s="256"/>
      <c r="P63" s="256"/>
      <c r="Q63" s="256"/>
      <c r="R63" s="256"/>
      <c r="S63" s="256"/>
      <c r="T63" s="256"/>
      <c r="U63" s="256"/>
      <c r="V63" s="256"/>
      <c r="W63" s="256"/>
      <c r="X63" s="256"/>
      <c r="Y63" s="256"/>
      <c r="Z63" s="256"/>
      <c r="AA63" s="256"/>
      <c r="AB63" s="256"/>
      <c r="AC63" s="257"/>
      <c r="AD63" s="258"/>
      <c r="AE63" s="251"/>
      <c r="AF63" s="254"/>
      <c r="AI63" s="142"/>
      <c r="AJ63" s="142"/>
    </row>
    <row r="64" spans="2:36">
      <c r="C64" s="256"/>
      <c r="D64" s="256"/>
      <c r="E64" s="256"/>
      <c r="F64" s="256"/>
      <c r="G64" s="256"/>
      <c r="H64" s="256"/>
      <c r="I64" s="256"/>
      <c r="J64" s="256"/>
      <c r="K64" s="256"/>
      <c r="L64" s="256"/>
      <c r="M64" s="256"/>
      <c r="N64" s="256"/>
      <c r="O64" s="256"/>
      <c r="P64" s="256"/>
      <c r="Q64" s="256"/>
      <c r="R64" s="256"/>
      <c r="S64" s="256"/>
      <c r="T64" s="256"/>
      <c r="U64" s="256"/>
      <c r="V64" s="256"/>
      <c r="W64" s="256"/>
      <c r="X64" s="256"/>
      <c r="Y64" s="256"/>
      <c r="Z64" s="256"/>
      <c r="AA64" s="256"/>
      <c r="AB64" s="256"/>
      <c r="AC64" s="257"/>
      <c r="AD64" s="257"/>
      <c r="AE64" s="257"/>
      <c r="AF64" s="257"/>
      <c r="AI64" s="142"/>
      <c r="AJ64" s="146"/>
    </row>
    <row r="65" s="80" customFormat="1" ht="140" customHeight="1" spans="2:32">
      <c r="B65" s="259" t="s">
        <v>378</v>
      </c>
      <c r="AE65" s="68" t="s">
        <v>379</v>
      </c>
      <c r="AF65" s="68"/>
    </row>
  </sheetData>
  <mergeCells count="102">
    <mergeCell ref="AA2:AB2"/>
    <mergeCell ref="C12:E12"/>
    <mergeCell ref="B21:Y21"/>
    <mergeCell ref="B22:Y22"/>
    <mergeCell ref="F30:I30"/>
    <mergeCell ref="F34:I34"/>
    <mergeCell ref="J34:L34"/>
    <mergeCell ref="M34:N34"/>
    <mergeCell ref="O34:P34"/>
    <mergeCell ref="Q34:R34"/>
    <mergeCell ref="S34:T34"/>
    <mergeCell ref="U34:V34"/>
    <mergeCell ref="W34:X34"/>
    <mergeCell ref="G35:H35"/>
    <mergeCell ref="I35:J35"/>
    <mergeCell ref="K35:M35"/>
    <mergeCell ref="N35:O35"/>
    <mergeCell ref="P35:Q35"/>
    <mergeCell ref="R35:S35"/>
    <mergeCell ref="T35:U35"/>
    <mergeCell ref="V35:W35"/>
    <mergeCell ref="X35:Y35"/>
    <mergeCell ref="G36:H36"/>
    <mergeCell ref="G39:Y39"/>
    <mergeCell ref="D40:S40"/>
    <mergeCell ref="D41:S41"/>
    <mergeCell ref="D42:S42"/>
    <mergeCell ref="D43:S43"/>
    <mergeCell ref="D44:S44"/>
    <mergeCell ref="AI49:AJ49"/>
    <mergeCell ref="B53:Y53"/>
    <mergeCell ref="AE55:AF55"/>
    <mergeCell ref="B56:Y56"/>
    <mergeCell ref="AE58:AF58"/>
    <mergeCell ref="AE59:AF59"/>
    <mergeCell ref="AI60:AJ60"/>
    <mergeCell ref="AI61:AJ61"/>
    <mergeCell ref="B62:AB62"/>
    <mergeCell ref="AI62:AJ62"/>
    <mergeCell ref="B63:AB63"/>
    <mergeCell ref="AE65:AF65"/>
    <mergeCell ref="B23:B41"/>
    <mergeCell ref="B42:B44"/>
    <mergeCell ref="B45:B46"/>
    <mergeCell ref="C23:C34"/>
    <mergeCell ref="C35:C45"/>
    <mergeCell ref="D23:D34"/>
    <mergeCell ref="D35:D39"/>
    <mergeCell ref="D45:D46"/>
    <mergeCell ref="E27:E39"/>
    <mergeCell ref="F35:F39"/>
    <mergeCell ref="Y30:Y34"/>
    <mergeCell ref="AA3:AA10"/>
    <mergeCell ref="AB3:AB10"/>
    <mergeCell ref="C2:G3"/>
    <mergeCell ref="H2:L3"/>
    <mergeCell ref="T8:V9"/>
    <mergeCell ref="C10:G11"/>
    <mergeCell ref="B13:G19"/>
    <mergeCell ref="T15:V16"/>
    <mergeCell ref="K15:N16"/>
    <mergeCell ref="T18:V19"/>
    <mergeCell ref="K18:N19"/>
    <mergeCell ref="F27:G29"/>
    <mergeCell ref="H27:I29"/>
    <mergeCell ref="F31:I33"/>
    <mergeCell ref="N2:V4"/>
    <mergeCell ref="W2:Y19"/>
    <mergeCell ref="P5:S6"/>
    <mergeCell ref="T5:V6"/>
    <mergeCell ref="P11:S13"/>
    <mergeCell ref="T11:V13"/>
    <mergeCell ref="AA11:AB28"/>
    <mergeCell ref="P15:S16"/>
    <mergeCell ref="P18:S19"/>
    <mergeCell ref="E23:Y26"/>
    <mergeCell ref="AA29:AB42"/>
    <mergeCell ref="O31:R33"/>
    <mergeCell ref="S31:V33"/>
    <mergeCell ref="J31:N33"/>
    <mergeCell ref="W31:X33"/>
    <mergeCell ref="P36:S38"/>
    <mergeCell ref="T36:W38"/>
    <mergeCell ref="X36:Y38"/>
    <mergeCell ref="K8:N9"/>
    <mergeCell ref="K36:O38"/>
    <mergeCell ref="B47:Y52"/>
    <mergeCell ref="E45:S46"/>
    <mergeCell ref="T40:Y46"/>
    <mergeCell ref="B54:Y55"/>
    <mergeCell ref="AI18:AJ28"/>
    <mergeCell ref="AE2:AF19"/>
    <mergeCell ref="AE21:AF27"/>
    <mergeCell ref="AE28:AF36"/>
    <mergeCell ref="AE37:AF40"/>
    <mergeCell ref="AE41:AF45"/>
    <mergeCell ref="AE56:AF57"/>
    <mergeCell ref="AE46:AF54"/>
    <mergeCell ref="AA43:AB60"/>
    <mergeCell ref="B57:Y60"/>
    <mergeCell ref="AI63:AJ64"/>
    <mergeCell ref="AE60:AF63"/>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3"/>
  <sheetViews>
    <sheetView zoomScale="25" zoomScaleNormal="25" topLeftCell="A2" workbookViewId="0">
      <selection activeCell="AL5" sqref="AL5"/>
    </sheetView>
  </sheetViews>
  <sheetFormatPr defaultColWidth="9.23076923076923" defaultRowHeight="16.8" outlineLevelCol="1"/>
  <cols>
    <col min="1" max="2" width="109.769230769231" customWidth="1"/>
  </cols>
  <sheetData>
    <row r="1" ht="130" customHeight="1" spans="1:2">
      <c r="A1" s="78" t="s">
        <v>380</v>
      </c>
      <c r="B1" s="78"/>
    </row>
    <row r="2" ht="409" customHeight="1" spans="1:2">
      <c r="A2" s="12" t="s">
        <v>381</v>
      </c>
      <c r="B2" s="12"/>
    </row>
    <row r="3" ht="409" customHeight="1" spans="1:2">
      <c r="A3" s="12"/>
      <c r="B3" s="12"/>
    </row>
    <row r="4" ht="409" customHeight="1" spans="1:2">
      <c r="A4" s="12"/>
      <c r="B4" s="12"/>
    </row>
    <row r="5" ht="409" customHeight="1" spans="1:2">
      <c r="A5" s="12"/>
      <c r="B5" s="12"/>
    </row>
    <row r="6" spans="1:2">
      <c r="A6" s="12"/>
      <c r="B6" s="12"/>
    </row>
    <row r="7" spans="1:2">
      <c r="A7" s="12"/>
      <c r="B7" s="12"/>
    </row>
    <row r="8" spans="1:2">
      <c r="A8" s="12"/>
      <c r="B8" s="12"/>
    </row>
    <row r="9" spans="1:2">
      <c r="A9" s="12"/>
      <c r="B9" s="12"/>
    </row>
    <row r="10" spans="1:2">
      <c r="A10" s="12"/>
      <c r="B10" s="12"/>
    </row>
    <row r="11" spans="1:2">
      <c r="A11" s="12"/>
      <c r="B11" s="12"/>
    </row>
    <row r="12" spans="1:2">
      <c r="A12" s="12"/>
      <c r="B12" s="12"/>
    </row>
    <row r="13" spans="1:2">
      <c r="A13" s="12"/>
      <c r="B13" s="12"/>
    </row>
    <row r="14" spans="1:2">
      <c r="A14" s="12"/>
      <c r="B14" s="12"/>
    </row>
    <row r="15" spans="1:2">
      <c r="A15" s="12"/>
      <c r="B15" s="12"/>
    </row>
    <row r="16" spans="1:2">
      <c r="A16" s="12"/>
      <c r="B16" s="12"/>
    </row>
    <row r="17" spans="1:2">
      <c r="A17" s="12"/>
      <c r="B17" s="12"/>
    </row>
    <row r="18" spans="1:2">
      <c r="A18" s="12"/>
      <c r="B18" s="12"/>
    </row>
    <row r="19" spans="1:2">
      <c r="A19" s="12"/>
      <c r="B19" s="12"/>
    </row>
    <row r="20" spans="1:2">
      <c r="A20" s="12"/>
      <c r="B20" s="12"/>
    </row>
    <row r="21" spans="1:2">
      <c r="A21" s="12"/>
      <c r="B21" s="12"/>
    </row>
    <row r="22" spans="1:2">
      <c r="A22" s="12"/>
      <c r="B22" s="12"/>
    </row>
    <row r="23" spans="1:2">
      <c r="A23" s="12"/>
      <c r="B23" s="12"/>
    </row>
    <row r="24" spans="1:2">
      <c r="A24" s="12"/>
      <c r="B24" s="12"/>
    </row>
    <row r="25" spans="1:2">
      <c r="A25" s="12"/>
      <c r="B25" s="12"/>
    </row>
    <row r="26" spans="1:2">
      <c r="A26" s="12"/>
      <c r="B26" s="12"/>
    </row>
    <row r="27" spans="1:2">
      <c r="A27" s="12"/>
      <c r="B27" s="12"/>
    </row>
    <row r="28" spans="1:2">
      <c r="A28" s="12"/>
      <c r="B28" s="12"/>
    </row>
    <row r="29" spans="1:2">
      <c r="A29" s="12"/>
      <c r="B29" s="12"/>
    </row>
    <row r="30" spans="1:2">
      <c r="A30" s="12"/>
      <c r="B30" s="12"/>
    </row>
    <row r="31" spans="1:2">
      <c r="A31" s="12"/>
      <c r="B31" s="12"/>
    </row>
    <row r="32" spans="1:2">
      <c r="A32" s="12"/>
      <c r="B32" s="12"/>
    </row>
    <row r="33" spans="1:2">
      <c r="A33" s="12"/>
      <c r="B33" s="12"/>
    </row>
    <row r="34" spans="1:2">
      <c r="A34" s="12"/>
      <c r="B34" s="12"/>
    </row>
    <row r="35" spans="1:2">
      <c r="A35" s="12"/>
      <c r="B35" s="12"/>
    </row>
    <row r="36" spans="1:2">
      <c r="A36" s="12"/>
      <c r="B36" s="12"/>
    </row>
    <row r="37" spans="1:2">
      <c r="A37" s="12"/>
      <c r="B37" s="12"/>
    </row>
    <row r="38" spans="1:2">
      <c r="A38" s="12"/>
      <c r="B38" s="12"/>
    </row>
    <row r="39" spans="1:2">
      <c r="A39" s="12"/>
      <c r="B39" s="12"/>
    </row>
    <row r="40" spans="1:2">
      <c r="A40" s="12"/>
      <c r="B40" s="12"/>
    </row>
    <row r="41" spans="1:2">
      <c r="A41" s="12"/>
      <c r="B41" s="12"/>
    </row>
    <row r="42" spans="1:2">
      <c r="A42" s="12"/>
      <c r="B42" s="12"/>
    </row>
    <row r="43" spans="1:2">
      <c r="A43" s="12"/>
      <c r="B43" s="12"/>
    </row>
  </sheetData>
  <mergeCells count="2">
    <mergeCell ref="A1:B1"/>
    <mergeCell ref="A2:B43"/>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3"/>
  <sheetViews>
    <sheetView zoomScale="25" zoomScaleNormal="25" workbookViewId="0">
      <selection activeCell="AC39" sqref="AC39"/>
    </sheetView>
  </sheetViews>
  <sheetFormatPr defaultColWidth="9.23076923076923" defaultRowHeight="16" customHeight="1"/>
  <cols>
    <col min="1" max="1" width="4.67307692307692" style="27" customWidth="1"/>
    <col min="2" max="2" width="3.68269230769231" style="27" customWidth="1"/>
    <col min="3" max="3" width="16.5" style="27" customWidth="1"/>
    <col min="4" max="4" width="15.5480769230769" style="27" customWidth="1"/>
    <col min="5" max="5" width="6.73076923076923" style="27" customWidth="1"/>
    <col min="6" max="6" width="14.2596153846154" style="28" customWidth="1"/>
    <col min="7" max="7" width="35.7307692307692" style="28" customWidth="1"/>
    <col min="8" max="8" width="50.25" style="28" customWidth="1"/>
    <col min="9" max="9" width="46.5865384615385" style="27" customWidth="1"/>
    <col min="10" max="10" width="2.83653846153846" style="27" customWidth="1"/>
  </cols>
  <sheetData>
    <row r="1" customHeight="1" spans="1:10">
      <c r="A1" s="29" t="s">
        <v>382</v>
      </c>
      <c r="B1" s="30"/>
      <c r="C1" s="30"/>
      <c r="D1" s="30"/>
      <c r="E1" s="30"/>
      <c r="F1" s="30"/>
      <c r="G1" s="30"/>
      <c r="H1" s="29" t="s">
        <v>383</v>
      </c>
      <c r="I1" s="30"/>
      <c r="J1" s="29"/>
    </row>
    <row r="2" customHeight="1" spans="1:10">
      <c r="A2" s="29"/>
      <c r="B2" s="30"/>
      <c r="C2" s="30"/>
      <c r="D2" s="30"/>
      <c r="E2" s="30"/>
      <c r="F2" s="30"/>
      <c r="G2" s="30"/>
      <c r="H2" s="29"/>
      <c r="I2" s="30"/>
      <c r="J2" s="30"/>
    </row>
    <row r="3" customHeight="1" spans="1:10">
      <c r="A3" s="29"/>
      <c r="B3" s="30"/>
      <c r="C3" s="30"/>
      <c r="D3" s="30"/>
      <c r="E3" s="30"/>
      <c r="F3" s="30"/>
      <c r="G3" s="30"/>
      <c r="H3" s="29"/>
      <c r="I3" s="30"/>
      <c r="J3" s="30"/>
    </row>
    <row r="4" customHeight="1" spans="1:10">
      <c r="A4" s="29"/>
      <c r="B4" s="30"/>
      <c r="C4" s="30"/>
      <c r="D4" s="30"/>
      <c r="E4" s="30"/>
      <c r="F4" s="30"/>
      <c r="G4" s="30"/>
      <c r="H4" s="29"/>
      <c r="I4" s="30"/>
      <c r="J4" s="30"/>
    </row>
    <row r="5" customHeight="1" spans="1:10">
      <c r="A5" s="29"/>
      <c r="B5" s="30"/>
      <c r="C5" s="30"/>
      <c r="D5" s="30"/>
      <c r="E5" s="30"/>
      <c r="F5" s="30"/>
      <c r="G5" s="30"/>
      <c r="H5" s="29"/>
      <c r="I5" s="30"/>
      <c r="J5" s="30"/>
    </row>
    <row r="6" customHeight="1" spans="1:10">
      <c r="A6" s="29"/>
      <c r="B6" s="30"/>
      <c r="C6" s="30"/>
      <c r="D6" s="30"/>
      <c r="E6" s="30"/>
      <c r="F6" s="30"/>
      <c r="G6" s="30"/>
      <c r="H6" s="29"/>
      <c r="I6" s="30"/>
      <c r="J6" s="30"/>
    </row>
    <row r="7" customFormat="1" customHeight="1" spans="1:10">
      <c r="A7" s="31" t="s">
        <v>384</v>
      </c>
      <c r="B7" s="27"/>
      <c r="C7" s="27"/>
      <c r="D7" s="27"/>
      <c r="E7" s="27"/>
      <c r="F7" s="27"/>
      <c r="G7" s="27"/>
      <c r="H7" s="31" t="s">
        <v>15</v>
      </c>
      <c r="I7" s="27"/>
      <c r="J7" s="27"/>
    </row>
    <row r="8" customFormat="1" customHeight="1" spans="1:10">
      <c r="A8" s="27"/>
      <c r="B8" s="27"/>
      <c r="C8" s="27"/>
      <c r="D8" s="27"/>
      <c r="E8" s="27"/>
      <c r="F8" s="27"/>
      <c r="G8" s="27"/>
      <c r="H8" s="27"/>
      <c r="I8" s="27"/>
      <c r="J8" s="27"/>
    </row>
    <row r="9" customFormat="1" customHeight="1" spans="1:10">
      <c r="A9" s="27"/>
      <c r="B9" s="27"/>
      <c r="C9" s="27"/>
      <c r="D9" s="27"/>
      <c r="E9" s="27"/>
      <c r="F9" s="27"/>
      <c r="G9" s="27"/>
      <c r="H9" s="27"/>
      <c r="I9" s="27"/>
      <c r="J9" s="27"/>
    </row>
    <row r="10" customFormat="1" customHeight="1" spans="1:10">
      <c r="A10" s="27"/>
      <c r="B10" s="27"/>
      <c r="C10" s="27"/>
      <c r="D10" s="27"/>
      <c r="E10" s="27"/>
      <c r="F10" s="27"/>
      <c r="G10" s="27"/>
      <c r="H10" s="27"/>
      <c r="I10" s="27"/>
      <c r="J10" s="27"/>
    </row>
    <row r="11" customFormat="1" customHeight="1" spans="1:10">
      <c r="A11" s="27"/>
      <c r="B11" s="27"/>
      <c r="C11" s="27"/>
      <c r="D11" s="27"/>
      <c r="E11" s="27"/>
      <c r="F11" s="27"/>
      <c r="G11" s="27"/>
      <c r="H11" s="27"/>
      <c r="I11" s="27"/>
      <c r="J11" s="27"/>
    </row>
    <row r="12" customFormat="1" customHeight="1" spans="1:10">
      <c r="A12" s="27"/>
      <c r="B12" s="27"/>
      <c r="C12" s="27"/>
      <c r="D12" s="27"/>
      <c r="E12" s="27"/>
      <c r="F12" s="27"/>
      <c r="G12" s="27"/>
      <c r="H12" s="27"/>
      <c r="I12" s="27"/>
      <c r="J12" s="27"/>
    </row>
    <row r="13" customFormat="1" customHeight="1" spans="1:10">
      <c r="A13" s="27"/>
      <c r="B13" s="27"/>
      <c r="C13" s="27"/>
      <c r="D13" s="27"/>
      <c r="E13" s="27"/>
      <c r="F13" s="27"/>
      <c r="G13" s="27"/>
      <c r="H13" s="27"/>
      <c r="I13" s="27"/>
      <c r="J13" s="27"/>
    </row>
    <row r="14" customFormat="1" customHeight="1" spans="1:10">
      <c r="A14" s="27"/>
      <c r="B14" s="27"/>
      <c r="C14" s="27"/>
      <c r="D14" s="27"/>
      <c r="E14" s="27"/>
      <c r="F14" s="27"/>
      <c r="G14" s="27"/>
      <c r="H14" s="27"/>
      <c r="I14" s="27"/>
      <c r="J14" s="27"/>
    </row>
    <row r="15" customFormat="1" customHeight="1" spans="1:10">
      <c r="A15" s="27"/>
      <c r="B15" s="27"/>
      <c r="C15" s="27"/>
      <c r="D15" s="27"/>
      <c r="E15" s="27"/>
      <c r="F15" s="27"/>
      <c r="G15" s="27"/>
      <c r="H15" s="27"/>
      <c r="I15" s="27"/>
      <c r="J15" s="27"/>
    </row>
    <row r="16" customFormat="1" customHeight="1" spans="1:10">
      <c r="A16" s="27"/>
      <c r="B16" s="27"/>
      <c r="C16" s="27"/>
      <c r="D16" s="27"/>
      <c r="E16" s="27"/>
      <c r="F16" s="27"/>
      <c r="G16" s="27"/>
      <c r="H16" s="27"/>
      <c r="I16" s="27"/>
      <c r="J16" s="27"/>
    </row>
    <row r="17" customFormat="1" customHeight="1" spans="1:10">
      <c r="A17" s="27"/>
      <c r="B17" s="27"/>
      <c r="C17" s="27"/>
      <c r="D17" s="27"/>
      <c r="E17" s="27"/>
      <c r="F17" s="27"/>
      <c r="G17" s="27"/>
      <c r="H17" s="27"/>
      <c r="I17" s="27"/>
      <c r="J17" s="27"/>
    </row>
    <row r="18" customFormat="1" customHeight="1" spans="1:10">
      <c r="A18" s="27"/>
      <c r="B18" s="27"/>
      <c r="C18" s="27"/>
      <c r="D18" s="27"/>
      <c r="E18" s="27"/>
      <c r="F18" s="27"/>
      <c r="G18" s="27"/>
      <c r="H18" s="27"/>
      <c r="I18" s="27"/>
      <c r="J18" s="27"/>
    </row>
    <row r="19" customFormat="1" customHeight="1" spans="1:10">
      <c r="A19" s="27"/>
      <c r="B19" s="27"/>
      <c r="C19" s="27"/>
      <c r="D19" s="27"/>
      <c r="E19" s="27"/>
      <c r="F19" s="27"/>
      <c r="G19" s="27"/>
      <c r="H19" s="27"/>
      <c r="I19" s="27"/>
      <c r="J19" s="27"/>
    </row>
    <row r="20" customFormat="1" customHeight="1" spans="1:10">
      <c r="A20" s="27"/>
      <c r="B20" s="27"/>
      <c r="C20" s="27"/>
      <c r="D20" s="27"/>
      <c r="E20" s="27"/>
      <c r="F20" s="27"/>
      <c r="G20" s="27"/>
      <c r="H20" s="27"/>
      <c r="I20" s="27"/>
      <c r="J20" s="27"/>
    </row>
    <row r="21" customFormat="1" customHeight="1" spans="1:10">
      <c r="A21" s="27"/>
      <c r="B21" s="27"/>
      <c r="C21" s="27"/>
      <c r="D21" s="27"/>
      <c r="E21" s="27"/>
      <c r="F21" s="27"/>
      <c r="G21" s="27"/>
      <c r="H21" s="27"/>
      <c r="I21" s="27"/>
      <c r="J21" s="27"/>
    </row>
    <row r="22" customFormat="1" customHeight="1" spans="1:10">
      <c r="A22" s="27"/>
      <c r="B22" s="27"/>
      <c r="C22" s="27"/>
      <c r="D22" s="27"/>
      <c r="E22" s="27"/>
      <c r="F22" s="27"/>
      <c r="G22" s="27"/>
      <c r="H22" s="27"/>
      <c r="I22" s="27"/>
      <c r="J22" s="27"/>
    </row>
    <row r="23" customFormat="1" customHeight="1" spans="1:10">
      <c r="A23" s="27"/>
      <c r="B23" s="27"/>
      <c r="C23" s="27"/>
      <c r="D23" s="27"/>
      <c r="E23" s="27"/>
      <c r="F23" s="27"/>
      <c r="G23" s="27"/>
      <c r="H23" s="27"/>
      <c r="I23" s="27"/>
      <c r="J23" s="27"/>
    </row>
    <row r="24" customFormat="1" customHeight="1" spans="1:10">
      <c r="A24" s="27"/>
      <c r="B24" s="27"/>
      <c r="C24" s="27"/>
      <c r="D24" s="27"/>
      <c r="E24" s="27"/>
      <c r="F24" s="27"/>
      <c r="G24" s="27"/>
      <c r="H24" s="27"/>
      <c r="I24" s="27"/>
      <c r="J24" s="27"/>
    </row>
    <row r="25" customFormat="1" customHeight="1" spans="1:10">
      <c r="A25" s="27"/>
      <c r="B25" s="27"/>
      <c r="C25" s="27"/>
      <c r="D25" s="27"/>
      <c r="E25" s="27"/>
      <c r="F25" s="27"/>
      <c r="G25" s="27"/>
      <c r="H25" s="27"/>
      <c r="I25" s="27"/>
      <c r="J25" s="27"/>
    </row>
    <row r="26" customFormat="1" customHeight="1" spans="1:10">
      <c r="A26" s="27"/>
      <c r="B26" s="27"/>
      <c r="C26" s="27"/>
      <c r="D26" s="27"/>
      <c r="E26" s="27"/>
      <c r="F26" s="27"/>
      <c r="G26" s="27"/>
      <c r="H26" s="27"/>
      <c r="I26" s="27"/>
      <c r="J26" s="27"/>
    </row>
    <row r="27" customFormat="1" customHeight="1" spans="1:10">
      <c r="A27" s="27"/>
      <c r="B27" s="27"/>
      <c r="C27" s="27"/>
      <c r="D27" s="27"/>
      <c r="E27" s="27"/>
      <c r="F27" s="27"/>
      <c r="G27" s="27"/>
      <c r="H27" s="27"/>
      <c r="I27" s="27"/>
      <c r="J27" s="27"/>
    </row>
    <row r="28" customFormat="1" customHeight="1" spans="1:10">
      <c r="A28" s="27"/>
      <c r="B28" s="27"/>
      <c r="C28" s="27"/>
      <c r="D28" s="27"/>
      <c r="E28" s="27"/>
      <c r="F28" s="27"/>
      <c r="G28" s="27"/>
      <c r="H28" s="27"/>
      <c r="I28" s="27"/>
      <c r="J28" s="27"/>
    </row>
    <row r="29" customFormat="1" customHeight="1" spans="1:10">
      <c r="A29" s="27"/>
      <c r="B29" s="27"/>
      <c r="C29" s="27"/>
      <c r="D29" s="27"/>
      <c r="E29" s="27"/>
      <c r="F29" s="27"/>
      <c r="G29" s="27"/>
      <c r="H29" s="27"/>
      <c r="I29" s="27"/>
      <c r="J29" s="27"/>
    </row>
    <row r="30" customFormat="1" customHeight="1" spans="1:10">
      <c r="A30" s="27"/>
      <c r="B30" s="27"/>
      <c r="C30" s="27"/>
      <c r="D30" s="27"/>
      <c r="E30" s="27"/>
      <c r="F30" s="27"/>
      <c r="G30" s="27"/>
      <c r="H30" s="27"/>
      <c r="I30" s="27"/>
      <c r="J30" s="27"/>
    </row>
    <row r="31" customFormat="1" customHeight="1" spans="1:10">
      <c r="A31" s="27"/>
      <c r="B31" s="27"/>
      <c r="C31" s="27"/>
      <c r="D31" s="27"/>
      <c r="E31" s="27"/>
      <c r="F31" s="27"/>
      <c r="G31" s="27"/>
      <c r="H31" s="27"/>
      <c r="I31" s="27"/>
      <c r="J31" s="27"/>
    </row>
    <row r="32" customFormat="1" customHeight="1" spans="1:10">
      <c r="A32" s="27"/>
      <c r="B32" s="27"/>
      <c r="C32" s="27"/>
      <c r="D32" s="27"/>
      <c r="E32" s="27"/>
      <c r="F32" s="27"/>
      <c r="G32" s="27"/>
      <c r="H32" s="27"/>
      <c r="I32" s="27"/>
      <c r="J32" s="27"/>
    </row>
    <row r="33" customFormat="1" customHeight="1" spans="1:10">
      <c r="A33" s="27"/>
      <c r="B33" s="27"/>
      <c r="C33" s="27"/>
      <c r="D33" s="27"/>
      <c r="E33" s="27"/>
      <c r="F33" s="27"/>
      <c r="G33" s="27"/>
      <c r="H33" s="27"/>
      <c r="I33" s="27"/>
      <c r="J33" s="27"/>
    </row>
    <row r="34" customFormat="1" customHeight="1" spans="1:10">
      <c r="A34" s="27"/>
      <c r="B34" s="27"/>
      <c r="C34" s="27"/>
      <c r="D34" s="27"/>
      <c r="E34" s="27"/>
      <c r="F34" s="27"/>
      <c r="G34" s="27"/>
      <c r="H34" s="27"/>
      <c r="I34" s="27"/>
      <c r="J34" s="27"/>
    </row>
    <row r="35" customFormat="1" customHeight="1" spans="1:10">
      <c r="A35" s="27"/>
      <c r="B35" s="27"/>
      <c r="C35" s="27"/>
      <c r="D35" s="27"/>
      <c r="E35" s="27"/>
      <c r="F35" s="27"/>
      <c r="G35" s="27"/>
      <c r="H35" s="27"/>
      <c r="I35" s="27"/>
      <c r="J35" s="27"/>
    </row>
    <row r="36" customFormat="1" customHeight="1" spans="1:10">
      <c r="A36" s="27"/>
      <c r="B36" s="27"/>
      <c r="C36" s="27"/>
      <c r="D36" s="27"/>
      <c r="E36" s="27"/>
      <c r="F36" s="27"/>
      <c r="G36" s="27"/>
      <c r="H36" s="27"/>
      <c r="I36" s="27"/>
      <c r="J36" s="27"/>
    </row>
    <row r="37" customFormat="1" customHeight="1" spans="1:10">
      <c r="A37" s="27"/>
      <c r="B37" s="27"/>
      <c r="C37" s="27"/>
      <c r="D37" s="27"/>
      <c r="E37" s="27"/>
      <c r="F37" s="27"/>
      <c r="G37" s="27"/>
      <c r="H37" s="27"/>
      <c r="I37" s="27"/>
      <c r="J37" s="27"/>
    </row>
    <row r="38" customFormat="1" customHeight="1" spans="1:10">
      <c r="A38" s="27"/>
      <c r="B38" s="27"/>
      <c r="C38" s="27"/>
      <c r="D38" s="27"/>
      <c r="E38" s="27"/>
      <c r="F38" s="27"/>
      <c r="G38" s="27"/>
      <c r="H38" s="27"/>
      <c r="I38" s="27"/>
      <c r="J38" s="27"/>
    </row>
    <row r="39" customFormat="1" customHeight="1" spans="1:10">
      <c r="A39" s="27"/>
      <c r="B39" s="27"/>
      <c r="C39" s="27"/>
      <c r="D39" s="27"/>
      <c r="E39" s="27"/>
      <c r="F39" s="27"/>
      <c r="G39" s="27"/>
      <c r="H39" s="27"/>
      <c r="I39" s="27"/>
      <c r="J39" s="27"/>
    </row>
    <row r="40" customFormat="1" customHeight="1" spans="1:10">
      <c r="A40" s="27"/>
      <c r="B40" s="27"/>
      <c r="C40" s="27"/>
      <c r="D40" s="27"/>
      <c r="E40" s="27"/>
      <c r="F40" s="27"/>
      <c r="G40" s="27"/>
      <c r="H40" s="27"/>
      <c r="I40" s="27"/>
      <c r="J40" s="27"/>
    </row>
    <row r="41" customFormat="1" customHeight="1" spans="1:10">
      <c r="A41" s="27"/>
      <c r="B41" s="27"/>
      <c r="C41" s="27"/>
      <c r="D41" s="27"/>
      <c r="E41" s="27"/>
      <c r="F41" s="27"/>
      <c r="G41" s="27"/>
      <c r="H41" s="27"/>
      <c r="I41" s="27"/>
      <c r="J41" s="27"/>
    </row>
    <row r="42" customFormat="1" customHeight="1" spans="1:10">
      <c r="A42" s="27"/>
      <c r="B42" s="27"/>
      <c r="C42" s="27"/>
      <c r="D42" s="27"/>
      <c r="E42" s="27"/>
      <c r="F42" s="27"/>
      <c r="G42" s="27"/>
      <c r="H42" s="27"/>
      <c r="I42" s="27"/>
      <c r="J42" s="27"/>
    </row>
    <row r="43" customFormat="1" customHeight="1" spans="1:10">
      <c r="A43" s="27"/>
      <c r="B43" s="27"/>
      <c r="C43" s="27"/>
      <c r="D43" s="27"/>
      <c r="E43" s="27"/>
      <c r="F43" s="27"/>
      <c r="G43" s="27"/>
      <c r="H43" s="27"/>
      <c r="I43" s="27"/>
      <c r="J43" s="27"/>
    </row>
    <row r="44" customFormat="1" customHeight="1" spans="1:10">
      <c r="A44" s="27"/>
      <c r="B44" s="27"/>
      <c r="C44" s="27"/>
      <c r="D44" s="27"/>
      <c r="E44" s="27"/>
      <c r="F44" s="27"/>
      <c r="G44" s="27"/>
      <c r="H44" s="27"/>
      <c r="I44" s="27"/>
      <c r="J44" s="27"/>
    </row>
    <row r="45" customFormat="1" customHeight="1" spans="1:10">
      <c r="A45" s="27"/>
      <c r="B45" s="27"/>
      <c r="C45" s="27"/>
      <c r="D45" s="27"/>
      <c r="E45" s="27"/>
      <c r="F45" s="27"/>
      <c r="G45" s="27"/>
      <c r="H45" s="27"/>
      <c r="I45" s="27"/>
      <c r="J45" s="27"/>
    </row>
    <row r="46" customFormat="1" customHeight="1" spans="1:10">
      <c r="A46" s="27"/>
      <c r="B46" s="27"/>
      <c r="C46" s="27"/>
      <c r="D46" s="27"/>
      <c r="E46" s="27"/>
      <c r="F46" s="27"/>
      <c r="G46" s="27"/>
      <c r="H46" s="27"/>
      <c r="I46" s="27"/>
      <c r="J46" s="27"/>
    </row>
    <row r="47" customFormat="1" customHeight="1" spans="1:10">
      <c r="A47" s="27"/>
      <c r="B47" s="27"/>
      <c r="C47" s="27"/>
      <c r="D47" s="27"/>
      <c r="E47" s="27"/>
      <c r="F47" s="27"/>
      <c r="G47" s="27"/>
      <c r="H47" s="27"/>
      <c r="I47" s="27"/>
      <c r="J47" s="27"/>
    </row>
    <row r="48" customFormat="1" customHeight="1" spans="1:10">
      <c r="A48" s="27"/>
      <c r="B48" s="27"/>
      <c r="C48" s="27"/>
      <c r="D48" s="27"/>
      <c r="E48" s="27"/>
      <c r="F48" s="27"/>
      <c r="G48" s="27"/>
      <c r="H48" s="27"/>
      <c r="I48" s="27"/>
      <c r="J48" s="27"/>
    </row>
    <row r="49" customFormat="1" customHeight="1" spans="1:10">
      <c r="A49" s="27"/>
      <c r="B49" s="27"/>
      <c r="C49" s="27"/>
      <c r="D49" s="27"/>
      <c r="E49" s="27"/>
      <c r="F49" s="27"/>
      <c r="G49" s="27"/>
      <c r="H49" s="27"/>
      <c r="I49" s="27"/>
      <c r="J49" s="27"/>
    </row>
    <row r="50" customFormat="1" customHeight="1" spans="1:10">
      <c r="A50" s="27"/>
      <c r="B50" s="27"/>
      <c r="C50" s="27"/>
      <c r="D50" s="27"/>
      <c r="E50" s="27"/>
      <c r="F50" s="27"/>
      <c r="G50" s="27"/>
      <c r="H50" s="27"/>
      <c r="I50" s="27"/>
      <c r="J50" s="27"/>
    </row>
    <row r="51" customFormat="1" customHeight="1" spans="1:10">
      <c r="A51" s="27"/>
      <c r="B51" s="27"/>
      <c r="C51" s="27"/>
      <c r="D51" s="27"/>
      <c r="E51" s="27"/>
      <c r="F51" s="27"/>
      <c r="G51" s="27"/>
      <c r="H51" s="27"/>
      <c r="I51" s="27"/>
      <c r="J51" s="27"/>
    </row>
    <row r="52" customFormat="1" customHeight="1" spans="1:10">
      <c r="A52" s="27"/>
      <c r="B52" s="27"/>
      <c r="C52" s="27"/>
      <c r="D52" s="27"/>
      <c r="E52" s="27"/>
      <c r="F52" s="27"/>
      <c r="G52" s="27"/>
      <c r="H52" s="27"/>
      <c r="I52" s="27"/>
      <c r="J52" s="27"/>
    </row>
    <row r="53" customFormat="1" customHeight="1" spans="1:10">
      <c r="A53" s="27"/>
      <c r="B53" s="27"/>
      <c r="C53" s="27"/>
      <c r="D53" s="27"/>
      <c r="E53" s="27"/>
      <c r="F53" s="27"/>
      <c r="G53" s="27"/>
      <c r="H53" s="27"/>
      <c r="I53" s="27"/>
      <c r="J53" s="27"/>
    </row>
    <row r="54" customFormat="1" customHeight="1" spans="1:10">
      <c r="A54" s="27"/>
      <c r="B54" s="27"/>
      <c r="C54" s="27"/>
      <c r="D54" s="27"/>
      <c r="E54" s="27"/>
      <c r="F54" s="27"/>
      <c r="G54" s="27"/>
      <c r="H54" s="27"/>
      <c r="I54" s="27"/>
      <c r="J54" s="27"/>
    </row>
    <row r="55" customFormat="1" customHeight="1" spans="1:10">
      <c r="A55" s="27"/>
      <c r="B55" s="27"/>
      <c r="C55" s="27"/>
      <c r="D55" s="27"/>
      <c r="E55" s="27"/>
      <c r="F55" s="27"/>
      <c r="G55" s="27"/>
      <c r="H55" s="27"/>
      <c r="I55" s="27"/>
      <c r="J55" s="27"/>
    </row>
    <row r="56" customFormat="1" customHeight="1" spans="1:10">
      <c r="A56" s="27"/>
      <c r="B56" s="27"/>
      <c r="C56" s="27"/>
      <c r="D56" s="27"/>
      <c r="E56" s="27"/>
      <c r="F56" s="27"/>
      <c r="G56" s="27"/>
      <c r="H56" s="27"/>
      <c r="I56" s="27"/>
      <c r="J56" s="27"/>
    </row>
    <row r="57" customFormat="1" customHeight="1" spans="1:10">
      <c r="A57" s="27"/>
      <c r="B57" s="27"/>
      <c r="C57" s="27"/>
      <c r="D57" s="27"/>
      <c r="E57" s="27"/>
      <c r="F57" s="27"/>
      <c r="G57" s="27"/>
      <c r="H57" s="27"/>
      <c r="I57" s="27"/>
      <c r="J57" s="27"/>
    </row>
    <row r="58" customFormat="1" customHeight="1" spans="1:10">
      <c r="A58" s="27"/>
      <c r="B58" s="27"/>
      <c r="C58" s="27"/>
      <c r="D58" s="27"/>
      <c r="E58" s="27"/>
      <c r="F58" s="27"/>
      <c r="G58" s="27"/>
      <c r="H58" s="27"/>
      <c r="I58" s="27"/>
      <c r="J58" s="27"/>
    </row>
    <row r="59" customFormat="1" customHeight="1" spans="1:10">
      <c r="A59" s="27"/>
      <c r="B59" s="27"/>
      <c r="C59" s="27"/>
      <c r="D59" s="27"/>
      <c r="E59" s="27"/>
      <c r="F59" s="27"/>
      <c r="G59" s="27"/>
      <c r="H59" s="27"/>
      <c r="I59" s="27"/>
      <c r="J59" s="27"/>
    </row>
    <row r="60" customFormat="1" customHeight="1" spans="1:10">
      <c r="A60" s="27"/>
      <c r="B60" s="27"/>
      <c r="C60" s="27"/>
      <c r="D60" s="27"/>
      <c r="E60" s="27"/>
      <c r="F60" s="27"/>
      <c r="G60" s="27"/>
      <c r="H60" s="27"/>
      <c r="I60" s="27"/>
      <c r="J60" s="27"/>
    </row>
    <row r="61" customFormat="1" customHeight="1" spans="1:10">
      <c r="A61" s="27"/>
      <c r="B61" s="27"/>
      <c r="C61" s="27"/>
      <c r="D61" s="27"/>
      <c r="E61" s="27"/>
      <c r="F61" s="27"/>
      <c r="G61" s="27"/>
      <c r="H61" s="27"/>
      <c r="I61" s="27"/>
      <c r="J61" s="27"/>
    </row>
    <row r="63" customFormat="1" customHeight="1" spans="1:10">
      <c r="A63" s="32" t="s">
        <v>385</v>
      </c>
      <c r="B63" s="32"/>
      <c r="C63" s="32"/>
      <c r="D63" s="32"/>
      <c r="E63" s="32"/>
      <c r="F63" s="32"/>
      <c r="G63" s="32"/>
      <c r="H63" s="32"/>
      <c r="I63" s="27"/>
      <c r="J63" s="27"/>
    </row>
    <row r="64" customFormat="1" customHeight="1" spans="1:10">
      <c r="A64" s="32"/>
      <c r="B64" s="32"/>
      <c r="C64" s="32"/>
      <c r="D64" s="32"/>
      <c r="E64" s="32"/>
      <c r="F64" s="32"/>
      <c r="G64" s="32"/>
      <c r="H64" s="32"/>
      <c r="I64" s="27"/>
      <c r="J64" s="27"/>
    </row>
    <row r="65" customFormat="1" customHeight="1" spans="1:10">
      <c r="A65" s="32"/>
      <c r="B65" s="32"/>
      <c r="C65" s="32"/>
      <c r="D65" s="32"/>
      <c r="E65" s="32"/>
      <c r="F65" s="32"/>
      <c r="G65" s="32"/>
      <c r="H65" s="32"/>
      <c r="I65" s="27"/>
      <c r="J65" s="27"/>
    </row>
    <row r="66" customFormat="1" customHeight="1" spans="1:10">
      <c r="A66" s="32"/>
      <c r="B66" s="32"/>
      <c r="C66" s="32"/>
      <c r="D66" s="32"/>
      <c r="E66" s="32"/>
      <c r="F66" s="32"/>
      <c r="G66" s="32"/>
      <c r="H66" s="32"/>
      <c r="I66" s="27"/>
      <c r="J66" s="27"/>
    </row>
    <row r="67" customFormat="1" customHeight="1" spans="1:10">
      <c r="A67" s="32"/>
      <c r="B67" s="32"/>
      <c r="C67" s="32"/>
      <c r="D67" s="32"/>
      <c r="E67" s="32"/>
      <c r="F67" s="32"/>
      <c r="G67" s="32"/>
      <c r="H67" s="32"/>
      <c r="I67" s="27"/>
      <c r="J67" s="27"/>
    </row>
    <row r="68" customFormat="1" customHeight="1" spans="1:10">
      <c r="A68" s="33" t="s">
        <v>386</v>
      </c>
      <c r="B68" s="34" t="s">
        <v>387</v>
      </c>
      <c r="C68" s="34"/>
      <c r="D68" s="34"/>
      <c r="E68" s="34"/>
      <c r="F68" s="34"/>
      <c r="G68" s="34"/>
      <c r="H68" s="34"/>
      <c r="I68" s="27"/>
      <c r="J68" s="27"/>
    </row>
    <row r="69" customFormat="1" customHeight="1" spans="1:10">
      <c r="A69" s="35"/>
      <c r="B69" s="36" t="s">
        <v>388</v>
      </c>
      <c r="C69" s="36"/>
      <c r="D69" s="36"/>
      <c r="E69" s="36"/>
      <c r="F69" s="36"/>
      <c r="G69" s="36"/>
      <c r="H69" s="36"/>
      <c r="I69" s="27"/>
      <c r="J69" s="27"/>
    </row>
    <row r="70" customFormat="1" customHeight="1" spans="1:10">
      <c r="A70" s="35"/>
      <c r="B70" s="37" t="s">
        <v>389</v>
      </c>
      <c r="C70" s="38" t="s">
        <v>390</v>
      </c>
      <c r="D70" s="38"/>
      <c r="E70" s="39" t="s">
        <v>391</v>
      </c>
      <c r="F70" s="39"/>
      <c r="G70" s="39"/>
      <c r="H70" s="39"/>
      <c r="I70" s="27"/>
      <c r="J70" s="27"/>
    </row>
    <row r="71" customFormat="1" customHeight="1" spans="1:10">
      <c r="A71" s="35"/>
      <c r="B71" s="40"/>
      <c r="C71" s="38" t="s">
        <v>392</v>
      </c>
      <c r="D71" s="38"/>
      <c r="E71" s="39" t="s">
        <v>393</v>
      </c>
      <c r="F71" s="39"/>
      <c r="G71" s="41" t="s">
        <v>394</v>
      </c>
      <c r="H71" s="41"/>
      <c r="I71" s="27"/>
      <c r="J71" s="27"/>
    </row>
    <row r="72" customFormat="1" customHeight="1" spans="1:10">
      <c r="A72" s="35"/>
      <c r="B72" s="40"/>
      <c r="C72" s="42"/>
      <c r="D72" s="42"/>
      <c r="E72" s="43" t="s">
        <v>395</v>
      </c>
      <c r="F72" s="43"/>
      <c r="G72" s="44" t="s">
        <v>396</v>
      </c>
      <c r="H72" s="44"/>
      <c r="I72" s="27"/>
      <c r="J72" s="27"/>
    </row>
    <row r="73" customFormat="1" customHeight="1" spans="1:10">
      <c r="A73" s="35"/>
      <c r="B73" s="40"/>
      <c r="C73" s="42"/>
      <c r="D73" s="42"/>
      <c r="E73" s="45"/>
      <c r="F73" s="45"/>
      <c r="G73" s="45" t="s">
        <v>397</v>
      </c>
      <c r="H73" s="45"/>
      <c r="I73" s="27"/>
      <c r="J73" s="27"/>
    </row>
    <row r="74" customFormat="1" customHeight="1" spans="1:10">
      <c r="A74" s="35"/>
      <c r="B74" s="40"/>
      <c r="C74" s="42"/>
      <c r="D74" s="42"/>
      <c r="E74" s="45"/>
      <c r="F74" s="45"/>
      <c r="G74" s="46" t="s">
        <v>398</v>
      </c>
      <c r="H74" s="46"/>
      <c r="I74" s="27"/>
      <c r="J74" s="27"/>
    </row>
    <row r="75" customFormat="1" customHeight="1" spans="1:10">
      <c r="A75" s="35"/>
      <c r="B75" s="40"/>
      <c r="C75" s="42"/>
      <c r="D75" s="42"/>
      <c r="E75" s="45"/>
      <c r="F75" s="45"/>
      <c r="G75" s="47" t="s">
        <v>399</v>
      </c>
      <c r="H75" s="47"/>
      <c r="I75" s="27"/>
      <c r="J75" s="27"/>
    </row>
    <row r="76" customFormat="1" customHeight="1" spans="1:10">
      <c r="A76" s="35"/>
      <c r="B76" s="40"/>
      <c r="C76" s="42"/>
      <c r="D76" s="42"/>
      <c r="E76" s="45"/>
      <c r="F76" s="45"/>
      <c r="G76" s="46" t="s">
        <v>400</v>
      </c>
      <c r="H76" s="46"/>
      <c r="I76" s="27"/>
      <c r="J76" s="27"/>
    </row>
    <row r="77" customFormat="1" customHeight="1" spans="1:10">
      <c r="A77" s="35"/>
      <c r="B77" s="40"/>
      <c r="C77" s="42"/>
      <c r="D77" s="42"/>
      <c r="E77" s="45"/>
      <c r="F77" s="45"/>
      <c r="G77" s="46" t="s">
        <v>401</v>
      </c>
      <c r="H77" s="46"/>
      <c r="I77" s="27"/>
      <c r="J77" s="27"/>
    </row>
    <row r="78" customFormat="1" customHeight="1" spans="1:10">
      <c r="A78" s="35"/>
      <c r="B78" s="40"/>
      <c r="C78" s="42"/>
      <c r="D78" s="42"/>
      <c r="E78" s="48" t="s">
        <v>402</v>
      </c>
      <c r="F78" s="48"/>
      <c r="G78" s="49" t="s">
        <v>403</v>
      </c>
      <c r="H78" s="49"/>
      <c r="I78" s="27"/>
      <c r="J78" s="27"/>
    </row>
    <row r="79" customFormat="1" customHeight="1" spans="1:10">
      <c r="A79" s="35"/>
      <c r="B79" s="40"/>
      <c r="C79" s="42"/>
      <c r="D79" s="42"/>
      <c r="E79" s="45" t="s">
        <v>404</v>
      </c>
      <c r="F79" s="45"/>
      <c r="G79" s="45" t="s">
        <v>405</v>
      </c>
      <c r="H79" s="45"/>
      <c r="I79" s="27"/>
      <c r="J79" s="27"/>
    </row>
    <row r="80" customFormat="1" customHeight="1" spans="1:10">
      <c r="A80" s="35"/>
      <c r="B80" s="40"/>
      <c r="C80" s="42"/>
      <c r="D80" s="42"/>
      <c r="E80" s="45"/>
      <c r="F80" s="45"/>
      <c r="G80" s="50" t="s">
        <v>406</v>
      </c>
      <c r="H80" s="50"/>
      <c r="I80" s="27"/>
      <c r="J80" s="27"/>
    </row>
    <row r="81" customFormat="1" customHeight="1" spans="1:10">
      <c r="A81" s="35"/>
      <c r="B81" s="40"/>
      <c r="C81" s="42"/>
      <c r="D81" s="42"/>
      <c r="E81" s="45"/>
      <c r="F81" s="45"/>
      <c r="G81" s="51" t="s">
        <v>407</v>
      </c>
      <c r="H81" s="51"/>
      <c r="I81" s="27"/>
      <c r="J81" s="27"/>
    </row>
    <row r="82" customFormat="1" customHeight="1" spans="1:10">
      <c r="A82" s="35"/>
      <c r="B82" s="40"/>
      <c r="C82" s="42"/>
      <c r="D82" s="42"/>
      <c r="E82" s="45"/>
      <c r="F82" s="45"/>
      <c r="G82" s="46" t="s">
        <v>408</v>
      </c>
      <c r="H82" s="46"/>
      <c r="I82" s="27"/>
      <c r="J82" s="27"/>
    </row>
    <row r="83" customFormat="1" customHeight="1" spans="1:10">
      <c r="A83" s="35"/>
      <c r="B83" s="40"/>
      <c r="C83" s="52"/>
      <c r="D83" s="52"/>
      <c r="E83" s="53"/>
      <c r="F83" s="53"/>
      <c r="G83" s="54" t="s">
        <v>409</v>
      </c>
      <c r="H83" s="54"/>
      <c r="I83" s="27"/>
      <c r="J83" s="27"/>
    </row>
    <row r="84" customFormat="1" customHeight="1" spans="1:10">
      <c r="A84" s="35"/>
      <c r="B84" s="40"/>
      <c r="C84" s="55" t="s">
        <v>410</v>
      </c>
      <c r="D84" s="55"/>
      <c r="E84" s="45" t="s">
        <v>411</v>
      </c>
      <c r="F84" s="45"/>
      <c r="G84" s="45"/>
      <c r="H84" s="45"/>
      <c r="I84" s="27"/>
      <c r="J84" s="27"/>
    </row>
    <row r="85" customFormat="1" customHeight="1" spans="1:10">
      <c r="A85" s="35"/>
      <c r="B85" s="40"/>
      <c r="C85" s="55"/>
      <c r="D85" s="55"/>
      <c r="E85" s="45"/>
      <c r="F85" s="45"/>
      <c r="G85" s="45"/>
      <c r="H85" s="45"/>
      <c r="I85" s="27"/>
      <c r="J85" s="27"/>
    </row>
    <row r="86" customFormat="1" customHeight="1" spans="1:10">
      <c r="A86" s="56"/>
      <c r="B86" s="57"/>
      <c r="C86" s="58" t="s">
        <v>412</v>
      </c>
      <c r="D86" s="58"/>
      <c r="E86" s="39" t="s">
        <v>413</v>
      </c>
      <c r="F86" s="39"/>
      <c r="G86" s="39"/>
      <c r="H86" s="39"/>
      <c r="I86" s="27"/>
      <c r="J86" s="27"/>
    </row>
    <row r="87" customFormat="1" customHeight="1" spans="1:10">
      <c r="A87" s="56"/>
      <c r="B87" s="57"/>
      <c r="C87" s="59"/>
      <c r="D87" s="59"/>
      <c r="E87" s="60"/>
      <c r="F87" s="60"/>
      <c r="G87" s="60"/>
      <c r="H87" s="60"/>
      <c r="I87" s="27"/>
      <c r="J87" s="27"/>
    </row>
    <row r="88" customFormat="1" customHeight="1" spans="1:10">
      <c r="A88" s="35" t="s">
        <v>414</v>
      </c>
      <c r="B88" s="61" t="s">
        <v>415</v>
      </c>
      <c r="C88" s="45" t="s">
        <v>416</v>
      </c>
      <c r="D88" s="45"/>
      <c r="E88" s="45"/>
      <c r="F88" s="45"/>
      <c r="G88" s="45"/>
      <c r="H88" s="45"/>
      <c r="I88" s="27"/>
      <c r="J88" s="27"/>
    </row>
    <row r="89" customFormat="1" customHeight="1" spans="1:10">
      <c r="A89" s="35"/>
      <c r="B89" s="61"/>
      <c r="C89" s="62" t="s">
        <v>417</v>
      </c>
      <c r="D89" s="62"/>
      <c r="E89" s="62"/>
      <c r="F89" s="62"/>
      <c r="G89" s="62"/>
      <c r="H89" s="62"/>
      <c r="I89" s="27"/>
      <c r="J89" s="27"/>
    </row>
    <row r="90" customFormat="1" customHeight="1" spans="1:10">
      <c r="A90" s="35"/>
      <c r="B90" s="61"/>
      <c r="C90" s="63" t="s">
        <v>418</v>
      </c>
      <c r="D90" s="63"/>
      <c r="E90" s="63"/>
      <c r="F90" s="63"/>
      <c r="G90" s="63"/>
      <c r="H90" s="63"/>
      <c r="I90" s="27"/>
      <c r="J90" s="27"/>
    </row>
    <row r="91" customFormat="1" customHeight="1" spans="1:10">
      <c r="A91" s="35"/>
      <c r="B91" s="61"/>
      <c r="C91" s="63"/>
      <c r="D91" s="63"/>
      <c r="E91" s="63"/>
      <c r="F91" s="63"/>
      <c r="G91" s="63"/>
      <c r="H91" s="63"/>
      <c r="I91" s="27"/>
      <c r="J91" s="27"/>
    </row>
    <row r="92" customFormat="1" customHeight="1" spans="1:10">
      <c r="A92" s="35"/>
      <c r="B92" s="61"/>
      <c r="C92" s="63"/>
      <c r="D92" s="63"/>
      <c r="E92" s="63"/>
      <c r="F92" s="63"/>
      <c r="G92" s="63"/>
      <c r="H92" s="63"/>
      <c r="I92" s="27"/>
      <c r="J92" s="27"/>
    </row>
    <row r="93" customFormat="1" customHeight="1" spans="1:10">
      <c r="A93" s="35"/>
      <c r="B93" s="61"/>
      <c r="C93" s="63"/>
      <c r="D93" s="63"/>
      <c r="E93" s="63"/>
      <c r="F93" s="63"/>
      <c r="G93" s="63"/>
      <c r="H93" s="63"/>
      <c r="I93" s="27"/>
      <c r="J93" s="27"/>
    </row>
    <row r="94" customFormat="1" customHeight="1" spans="1:10">
      <c r="A94" s="35"/>
      <c r="B94" s="61"/>
      <c r="C94" s="63"/>
      <c r="D94" s="63"/>
      <c r="E94" s="63"/>
      <c r="F94" s="63"/>
      <c r="G94" s="63"/>
      <c r="H94" s="63"/>
      <c r="I94" s="27"/>
      <c r="J94" s="27"/>
    </row>
    <row r="95" customFormat="1" customHeight="1" spans="1:10">
      <c r="A95" s="35"/>
      <c r="B95" s="64" t="s">
        <v>419</v>
      </c>
      <c r="C95" s="65" t="s">
        <v>420</v>
      </c>
      <c r="D95" s="65"/>
      <c r="E95" s="65"/>
      <c r="F95" s="65"/>
      <c r="G95" s="65"/>
      <c r="H95" s="65"/>
      <c r="I95" s="27"/>
      <c r="J95" s="27"/>
    </row>
    <row r="96" customFormat="1" customHeight="1" spans="1:10">
      <c r="A96" s="35"/>
      <c r="B96" s="61"/>
      <c r="C96" s="55"/>
      <c r="D96" s="55"/>
      <c r="E96" s="55"/>
      <c r="F96" s="55"/>
      <c r="G96" s="55"/>
      <c r="H96" s="55"/>
      <c r="I96" s="27"/>
      <c r="J96" s="27"/>
    </row>
    <row r="97" customFormat="1" customHeight="1" spans="1:10">
      <c r="A97" s="35"/>
      <c r="B97" s="61"/>
      <c r="C97" s="55"/>
      <c r="D97" s="55"/>
      <c r="E97" s="55"/>
      <c r="F97" s="55"/>
      <c r="G97" s="55"/>
      <c r="H97" s="55"/>
      <c r="I97" s="27"/>
      <c r="J97" s="27"/>
    </row>
    <row r="98" customFormat="1" customHeight="1" spans="1:10">
      <c r="A98" s="35"/>
      <c r="B98" s="61"/>
      <c r="C98" s="55"/>
      <c r="D98" s="55"/>
      <c r="E98" s="55"/>
      <c r="F98" s="55"/>
      <c r="G98" s="55"/>
      <c r="H98" s="55"/>
      <c r="I98" s="27"/>
      <c r="J98" s="27"/>
    </row>
    <row r="99" customFormat="1" customHeight="1" spans="1:10">
      <c r="A99" s="35"/>
      <c r="B99" s="61"/>
      <c r="C99" s="66" t="s">
        <v>421</v>
      </c>
      <c r="D99" s="66"/>
      <c r="E99" s="66"/>
      <c r="F99" s="66"/>
      <c r="G99" s="66"/>
      <c r="H99" s="66"/>
      <c r="I99" s="27"/>
      <c r="J99" s="27"/>
    </row>
    <row r="100" customFormat="1" customHeight="1" spans="1:10">
      <c r="A100" s="35"/>
      <c r="B100" s="61"/>
      <c r="C100" s="67" t="s">
        <v>422</v>
      </c>
      <c r="D100" s="67"/>
      <c r="E100" s="67"/>
      <c r="F100" s="67"/>
      <c r="G100" s="67"/>
      <c r="H100" s="67"/>
      <c r="I100" s="27"/>
      <c r="J100" s="27"/>
    </row>
    <row r="101" customFormat="1" customHeight="1" spans="1:10">
      <c r="A101" s="35"/>
      <c r="B101" s="61"/>
      <c r="C101" s="31" t="s">
        <v>423</v>
      </c>
      <c r="D101" s="42" t="s">
        <v>424</v>
      </c>
      <c r="E101" s="42"/>
      <c r="F101" s="68" t="s">
        <v>425</v>
      </c>
      <c r="G101" s="68"/>
      <c r="H101" s="68"/>
      <c r="I101" s="27"/>
      <c r="J101" s="27"/>
    </row>
    <row r="102" customFormat="1" customHeight="1" spans="1:10">
      <c r="A102" s="35"/>
      <c r="B102" s="61"/>
      <c r="C102" s="31"/>
      <c r="D102" s="42"/>
      <c r="E102" s="42"/>
      <c r="F102" s="68"/>
      <c r="G102" s="68"/>
      <c r="H102" s="68"/>
      <c r="I102" s="27"/>
      <c r="J102" s="27"/>
    </row>
    <row r="103" customFormat="1" customHeight="1" spans="1:10">
      <c r="A103" s="35"/>
      <c r="B103" s="61"/>
      <c r="C103" s="31"/>
      <c r="D103" s="42"/>
      <c r="E103" s="42"/>
      <c r="F103" s="68"/>
      <c r="G103" s="68"/>
      <c r="H103" s="68"/>
      <c r="I103" s="27"/>
      <c r="J103" s="27"/>
    </row>
    <row r="104" customHeight="1" spans="1:10">
      <c r="A104" s="35"/>
      <c r="B104" s="61"/>
      <c r="C104" s="31"/>
      <c r="D104" s="42"/>
      <c r="E104" s="42"/>
      <c r="F104" s="68"/>
      <c r="G104" s="68"/>
      <c r="H104" s="68"/>
      <c r="I104" s="28"/>
      <c r="J104" s="28"/>
    </row>
    <row r="105" customFormat="1" customHeight="1" spans="1:10">
      <c r="A105" s="35"/>
      <c r="B105" s="61"/>
      <c r="C105" s="31" t="s">
        <v>426</v>
      </c>
      <c r="D105" s="42" t="s">
        <v>427</v>
      </c>
      <c r="E105" s="42"/>
      <c r="F105" s="68"/>
      <c r="G105" s="68"/>
      <c r="H105" s="68"/>
      <c r="I105" s="27"/>
      <c r="J105" s="28"/>
    </row>
    <row r="106" customFormat="1" customHeight="1" spans="1:10">
      <c r="A106" s="35"/>
      <c r="B106" s="61"/>
      <c r="C106" s="31"/>
      <c r="D106" s="42"/>
      <c r="E106" s="42"/>
      <c r="F106" s="68"/>
      <c r="G106" s="68"/>
      <c r="H106" s="68"/>
      <c r="I106" s="27"/>
      <c r="J106" s="27"/>
    </row>
    <row r="107" customFormat="1" customHeight="1" spans="1:10">
      <c r="A107" s="35"/>
      <c r="B107" s="61"/>
      <c r="C107" s="31"/>
      <c r="D107" s="42"/>
      <c r="E107" s="42"/>
      <c r="F107" s="68"/>
      <c r="G107" s="68"/>
      <c r="H107" s="68"/>
      <c r="I107" s="27"/>
      <c r="J107" s="27"/>
    </row>
    <row r="108" customFormat="1" customHeight="1" spans="1:10">
      <c r="A108" s="35"/>
      <c r="B108" s="61"/>
      <c r="C108" s="31"/>
      <c r="D108" s="42"/>
      <c r="E108" s="42"/>
      <c r="F108" s="68"/>
      <c r="G108" s="68"/>
      <c r="H108" s="68"/>
      <c r="I108" s="27"/>
      <c r="J108" s="27"/>
    </row>
    <row r="109" customFormat="1" customHeight="1" spans="1:10">
      <c r="A109" s="35"/>
      <c r="B109" s="61"/>
      <c r="C109" s="31"/>
      <c r="D109" s="42"/>
      <c r="E109" s="42"/>
      <c r="F109" s="68"/>
      <c r="G109" s="68"/>
      <c r="H109" s="68"/>
      <c r="I109" s="27"/>
      <c r="J109" s="27"/>
    </row>
    <row r="110" customFormat="1" customHeight="1" spans="1:10">
      <c r="A110" s="35"/>
      <c r="B110" s="61"/>
      <c r="C110" s="31" t="s">
        <v>428</v>
      </c>
      <c r="D110" s="42" t="s">
        <v>429</v>
      </c>
      <c r="E110" s="42"/>
      <c r="F110" s="68" t="s">
        <v>430</v>
      </c>
      <c r="G110" s="68"/>
      <c r="H110" s="68"/>
      <c r="I110" s="27"/>
      <c r="J110" s="27"/>
    </row>
    <row r="111" customFormat="1" customHeight="1" spans="1:10">
      <c r="A111" s="35"/>
      <c r="B111" s="61"/>
      <c r="C111" s="31"/>
      <c r="D111" s="42"/>
      <c r="E111" s="42"/>
      <c r="F111" s="68"/>
      <c r="G111" s="68"/>
      <c r="H111" s="68"/>
      <c r="I111" s="27"/>
      <c r="J111" s="27"/>
    </row>
    <row r="112" customFormat="1" customHeight="1" spans="1:10">
      <c r="A112" s="35"/>
      <c r="B112" s="61"/>
      <c r="C112" s="31"/>
      <c r="D112" s="42"/>
      <c r="E112" s="42"/>
      <c r="F112" s="68"/>
      <c r="G112" s="68"/>
      <c r="H112" s="68"/>
      <c r="I112" s="27"/>
      <c r="J112" s="27"/>
    </row>
    <row r="113" customFormat="1" customHeight="1" spans="1:10">
      <c r="A113" s="35"/>
      <c r="B113" s="61"/>
      <c r="C113" s="31"/>
      <c r="D113" s="42"/>
      <c r="E113" s="42"/>
      <c r="F113" s="68"/>
      <c r="G113" s="68"/>
      <c r="H113" s="68"/>
      <c r="I113" s="27"/>
      <c r="J113" s="27"/>
    </row>
    <row r="114" customFormat="1" customHeight="1" spans="1:10">
      <c r="A114" s="35"/>
      <c r="B114" s="61"/>
      <c r="C114" s="31" t="s">
        <v>431</v>
      </c>
      <c r="D114" s="55" t="s">
        <v>432</v>
      </c>
      <c r="E114" s="55"/>
      <c r="F114" s="31" t="s">
        <v>433</v>
      </c>
      <c r="G114" s="31"/>
      <c r="H114" s="31"/>
      <c r="I114" s="27"/>
      <c r="J114" s="27"/>
    </row>
    <row r="115" customFormat="1" customHeight="1" spans="1:10">
      <c r="A115" s="35"/>
      <c r="B115" s="61"/>
      <c r="C115" s="31"/>
      <c r="D115" s="55"/>
      <c r="E115" s="55"/>
      <c r="F115" s="31"/>
      <c r="G115" s="31"/>
      <c r="H115" s="31"/>
      <c r="I115" s="27"/>
      <c r="J115" s="27"/>
    </row>
    <row r="116" customFormat="1" customHeight="1" spans="1:10">
      <c r="A116" s="35"/>
      <c r="B116" s="61"/>
      <c r="C116" s="31"/>
      <c r="D116" s="55"/>
      <c r="E116" s="55"/>
      <c r="F116" s="31"/>
      <c r="G116" s="31"/>
      <c r="H116" s="31"/>
      <c r="I116" s="27"/>
      <c r="J116" s="27"/>
    </row>
    <row r="117" customFormat="1" customHeight="1" spans="1:10">
      <c r="A117" s="35"/>
      <c r="B117" s="61"/>
      <c r="C117" s="31"/>
      <c r="D117" s="55"/>
      <c r="E117" s="55"/>
      <c r="F117" s="31"/>
      <c r="G117" s="31"/>
      <c r="H117" s="31"/>
      <c r="I117" s="27"/>
      <c r="J117" s="27"/>
    </row>
    <row r="118" customFormat="1" customHeight="1" spans="1:10">
      <c r="A118" s="35"/>
      <c r="B118" s="61"/>
      <c r="C118" s="31"/>
      <c r="D118" s="55"/>
      <c r="E118" s="55"/>
      <c r="F118" s="31"/>
      <c r="G118" s="31"/>
      <c r="H118" s="31"/>
      <c r="I118" s="27"/>
      <c r="J118" s="27"/>
    </row>
    <row r="119" customFormat="1" customHeight="1" spans="1:10">
      <c r="A119" s="69"/>
      <c r="B119" s="70"/>
      <c r="C119" s="71"/>
      <c r="D119" s="72"/>
      <c r="E119" s="72"/>
      <c r="F119" s="71"/>
      <c r="G119" s="71"/>
      <c r="H119" s="71"/>
      <c r="I119" s="27"/>
      <c r="J119" s="27"/>
    </row>
    <row r="120" customFormat="1" customHeight="1" spans="1:10">
      <c r="A120" s="73" t="s">
        <v>434</v>
      </c>
      <c r="B120" s="73"/>
      <c r="C120" s="73"/>
      <c r="D120" s="73"/>
      <c r="E120" s="73"/>
      <c r="F120" s="73"/>
      <c r="G120" s="73"/>
      <c r="H120" s="73"/>
      <c r="I120" s="27"/>
      <c r="J120" s="27"/>
    </row>
    <row r="121" customFormat="1" customHeight="1" spans="1:10">
      <c r="A121" s="74" t="s">
        <v>435</v>
      </c>
      <c r="B121" s="75"/>
      <c r="C121" s="75"/>
      <c r="D121" s="75"/>
      <c r="E121" s="75"/>
      <c r="F121" s="75"/>
      <c r="G121" s="75"/>
      <c r="H121" s="75"/>
      <c r="I121" s="27"/>
      <c r="J121" s="27"/>
    </row>
    <row r="122" customFormat="1" customHeight="1" spans="1:10">
      <c r="A122" s="76" t="s">
        <v>436</v>
      </c>
      <c r="B122" s="76"/>
      <c r="C122" s="76"/>
      <c r="D122" s="76"/>
      <c r="E122" s="76"/>
      <c r="F122" s="76"/>
      <c r="G122" s="76"/>
      <c r="H122" s="76"/>
      <c r="I122" s="27"/>
      <c r="J122" s="27"/>
    </row>
    <row r="123" customFormat="1" customHeight="1" spans="1:10">
      <c r="A123" s="77"/>
      <c r="B123" s="77"/>
      <c r="C123" s="77"/>
      <c r="D123" s="77"/>
      <c r="E123" s="77"/>
      <c r="F123" s="77"/>
      <c r="G123" s="77"/>
      <c r="H123" s="77"/>
      <c r="I123" s="27"/>
      <c r="J123" s="27"/>
    </row>
  </sheetData>
  <mergeCells count="56">
    <mergeCell ref="B68:H68"/>
    <mergeCell ref="B69:H69"/>
    <mergeCell ref="C70:D70"/>
    <mergeCell ref="E70:H70"/>
    <mergeCell ref="E71:F71"/>
    <mergeCell ref="G71:H71"/>
    <mergeCell ref="G72:H72"/>
    <mergeCell ref="G73:H73"/>
    <mergeCell ref="G74:H74"/>
    <mergeCell ref="G75:H75"/>
    <mergeCell ref="G76:H76"/>
    <mergeCell ref="G77:H77"/>
    <mergeCell ref="E78:F78"/>
    <mergeCell ref="G78:H78"/>
    <mergeCell ref="G79:H79"/>
    <mergeCell ref="G80:H80"/>
    <mergeCell ref="G81:H81"/>
    <mergeCell ref="G82:H82"/>
    <mergeCell ref="G83:H83"/>
    <mergeCell ref="C88:H88"/>
    <mergeCell ref="C89:H89"/>
    <mergeCell ref="C99:H99"/>
    <mergeCell ref="C100:H100"/>
    <mergeCell ref="A120:H120"/>
    <mergeCell ref="A121:H121"/>
    <mergeCell ref="A68:A87"/>
    <mergeCell ref="A88:A119"/>
    <mergeCell ref="B70:B87"/>
    <mergeCell ref="B88:B94"/>
    <mergeCell ref="B95:B119"/>
    <mergeCell ref="C101:C104"/>
    <mergeCell ref="C105:C109"/>
    <mergeCell ref="C110:C113"/>
    <mergeCell ref="C114:C119"/>
    <mergeCell ref="A1:G6"/>
    <mergeCell ref="H1:I6"/>
    <mergeCell ref="A7:G61"/>
    <mergeCell ref="H7:I61"/>
    <mergeCell ref="A63:H67"/>
    <mergeCell ref="C71:D83"/>
    <mergeCell ref="E72:F77"/>
    <mergeCell ref="E79:F83"/>
    <mergeCell ref="C84:D85"/>
    <mergeCell ref="E84:H85"/>
    <mergeCell ref="C86:D87"/>
    <mergeCell ref="E86:H87"/>
    <mergeCell ref="C90:H94"/>
    <mergeCell ref="C95:H98"/>
    <mergeCell ref="D101:E104"/>
    <mergeCell ref="F101:H109"/>
    <mergeCell ref="D105:E109"/>
    <mergeCell ref="D110:E113"/>
    <mergeCell ref="F110:H113"/>
    <mergeCell ref="D114:E119"/>
    <mergeCell ref="F114:H119"/>
    <mergeCell ref="A122:H123"/>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4"/>
  <sheetViews>
    <sheetView workbookViewId="0">
      <selection activeCell="B14" sqref="B14"/>
    </sheetView>
  </sheetViews>
  <sheetFormatPr defaultColWidth="9.23076923076923" defaultRowHeight="17.6"/>
  <cols>
    <col min="1" max="1" width="69.3557692307692" style="1" customWidth="1"/>
    <col min="2" max="2" width="69.3557692307692" style="2" customWidth="1"/>
    <col min="3" max="16384" width="9.23076923076923" style="2"/>
  </cols>
  <sheetData>
    <row r="1" ht="144" customHeight="1" spans="1:23">
      <c r="A1" s="3" t="s">
        <v>437</v>
      </c>
      <c r="B1" s="4"/>
    </row>
    <row r="2" ht="144" customHeight="1" spans="1:23">
      <c r="A2" s="3"/>
      <c r="B2" s="4"/>
    </row>
    <row r="3" ht="76" customHeight="1" spans="1:23">
      <c r="A3" s="5" t="s">
        <v>438</v>
      </c>
      <c r="B3" s="6"/>
    </row>
    <row r="4" ht="76" customHeight="1" spans="1:23">
      <c r="A4" s="6"/>
      <c r="B4" s="6"/>
    </row>
    <row r="5" ht="164" customHeight="1" spans="1:23">
      <c r="A5" s="7" t="s">
        <v>439</v>
      </c>
      <c r="B5" s="8"/>
    </row>
    <row r="6" ht="164" customHeight="1" spans="1:23">
      <c r="A6" s="9"/>
      <c r="B6" s="8"/>
    </row>
    <row r="7" ht="208" customHeight="1" spans="1:23">
      <c r="A7" s="6" t="s">
        <v>440</v>
      </c>
      <c r="B7" s="6"/>
    </row>
    <row r="8" ht="208" customHeight="1" spans="1:23">
      <c r="A8" s="6"/>
      <c r="B8" s="10"/>
    </row>
    <row r="9" ht="111" customHeight="1" spans="1:23">
      <c r="A9" s="6" t="s">
        <v>441</v>
      </c>
      <c r="B9" s="6"/>
    </row>
    <row r="10" customFormat="1" ht="111" customHeight="1" spans="1:23">
      <c r="A10" s="6"/>
      <c r="B10" s="10"/>
      <c r="V10" s="11"/>
    </row>
    <row r="11" customFormat="1" ht="145" customHeight="1" spans="1:23">
      <c r="A11" s="12" t="s">
        <v>442</v>
      </c>
      <c r="B11" s="12" t="s">
        <v>443</v>
      </c>
    </row>
    <row r="12" customFormat="1" ht="16.8" spans="1:23">
      <c r="D12" s="13" t="s">
        <v>444</v>
      </c>
      <c r="E12" s="14"/>
      <c r="F12" s="14"/>
      <c r="G12" s="14"/>
      <c r="H12" s="14"/>
      <c r="I12" s="14"/>
      <c r="J12" s="14"/>
      <c r="K12" s="14"/>
      <c r="L12" s="14"/>
      <c r="M12" s="14"/>
      <c r="N12" s="14"/>
      <c r="O12" s="14"/>
      <c r="P12" s="14"/>
      <c r="Q12" s="14"/>
      <c r="R12" s="14"/>
      <c r="S12" s="14"/>
      <c r="T12" s="14"/>
      <c r="U12" s="14"/>
      <c r="V12" s="14"/>
      <c r="W12" s="14"/>
    </row>
    <row r="13" spans="1:23">
      <c r="D13" s="14"/>
      <c r="E13" s="14"/>
      <c r="F13" s="14"/>
      <c r="G13" s="14"/>
      <c r="H13" s="14"/>
      <c r="I13" s="14"/>
      <c r="J13" s="14"/>
      <c r="K13" s="14"/>
      <c r="L13" s="14"/>
      <c r="M13" s="14"/>
      <c r="N13" s="14"/>
      <c r="O13" s="14"/>
      <c r="P13" s="14"/>
      <c r="Q13" s="14"/>
      <c r="R13" s="14"/>
      <c r="S13" s="14"/>
      <c r="T13" s="14"/>
      <c r="U13" s="14"/>
      <c r="V13" s="14"/>
      <c r="W13" s="14"/>
    </row>
    <row r="14" spans="1:23">
      <c r="D14" s="14"/>
      <c r="E14" s="14"/>
      <c r="F14" s="14"/>
      <c r="G14" s="14"/>
      <c r="H14" s="14"/>
      <c r="I14" s="14"/>
      <c r="J14" s="14"/>
      <c r="K14" s="14"/>
      <c r="L14" s="14"/>
      <c r="M14" s="14"/>
      <c r="N14" s="14"/>
      <c r="O14" s="14"/>
      <c r="P14" s="14"/>
      <c r="Q14" s="14"/>
      <c r="R14" s="14"/>
      <c r="S14" s="14"/>
      <c r="T14" s="14"/>
      <c r="U14" s="14"/>
      <c r="V14" s="14"/>
      <c r="W14" s="14"/>
    </row>
    <row r="15" ht="23" customHeight="1" spans="1:23">
      <c r="D15" s="15" t="s">
        <v>445</v>
      </c>
      <c r="E15" s="15"/>
      <c r="F15" s="15"/>
      <c r="G15" s="15" t="s">
        <v>446</v>
      </c>
      <c r="H15" s="15"/>
      <c r="I15" s="16" t="str">
        <f>_xlfn.DISPIMG("ID_96C1024DCF994B94BC60313E1672C860",1)</f>
        <v>=DISPIMG("ID_96C1024DCF994B94BC60313E1672C860",1)</v>
      </c>
      <c r="J15" s="17" t="s">
        <v>447</v>
      </c>
      <c r="K15" s="18"/>
      <c r="L15" s="18"/>
      <c r="M15" s="18"/>
      <c r="N15" s="18"/>
      <c r="O15" s="18"/>
      <c r="P15" s="18"/>
      <c r="Q15" s="18"/>
      <c r="R15" s="18"/>
      <c r="S15" s="18"/>
      <c r="T15" s="18"/>
      <c r="U15" s="18"/>
      <c r="V15" s="15" t="s">
        <v>448</v>
      </c>
      <c r="W15" s="15"/>
    </row>
    <row r="16" spans="1:23">
      <c r="D16" s="19" t="s">
        <v>449</v>
      </c>
      <c r="E16" s="19"/>
      <c r="F16" s="19"/>
      <c r="G16" s="20" t="s">
        <v>450</v>
      </c>
      <c r="H16" s="19"/>
      <c r="I16" s="20" t="s">
        <v>451</v>
      </c>
      <c r="J16" s="20"/>
      <c r="K16" s="20"/>
      <c r="L16" s="20"/>
      <c r="M16" s="20"/>
      <c r="N16" s="20"/>
      <c r="O16" s="20"/>
      <c r="P16" s="20"/>
      <c r="Q16" s="20"/>
      <c r="R16" s="20"/>
      <c r="S16" s="20"/>
      <c r="T16" s="20"/>
      <c r="U16" s="20"/>
      <c r="V16" s="20" t="s">
        <v>452</v>
      </c>
      <c r="W16" s="20"/>
    </row>
    <row r="17" spans="4:23">
      <c r="D17" s="21"/>
      <c r="E17" s="21"/>
      <c r="F17" s="21"/>
      <c r="G17" s="21"/>
      <c r="H17" s="21"/>
      <c r="I17" s="22"/>
      <c r="J17" s="22"/>
      <c r="K17" s="22"/>
      <c r="L17" s="22"/>
      <c r="M17" s="22"/>
      <c r="N17" s="22"/>
      <c r="O17" s="22"/>
      <c r="P17" s="22"/>
      <c r="Q17" s="22"/>
      <c r="R17" s="22"/>
      <c r="S17" s="22"/>
      <c r="T17" s="22"/>
      <c r="U17" s="22"/>
      <c r="V17" s="22"/>
      <c r="W17" s="22"/>
    </row>
    <row r="18" spans="4:23">
      <c r="D18" s="21"/>
      <c r="E18" s="21"/>
      <c r="F18" s="21"/>
      <c r="G18" s="21"/>
      <c r="H18" s="21"/>
      <c r="I18" s="22"/>
      <c r="J18" s="22"/>
      <c r="K18" s="22"/>
      <c r="L18" s="22"/>
      <c r="M18" s="22"/>
      <c r="N18" s="22"/>
      <c r="O18" s="22"/>
      <c r="P18" s="22"/>
      <c r="Q18" s="22"/>
      <c r="R18" s="22"/>
      <c r="S18" s="22"/>
      <c r="T18" s="22"/>
      <c r="U18" s="22"/>
      <c r="V18" s="22"/>
      <c r="W18" s="22"/>
    </row>
    <row r="19" spans="4:23">
      <c r="D19" s="21"/>
      <c r="E19" s="21"/>
      <c r="F19" s="21"/>
      <c r="G19" s="21"/>
      <c r="H19" s="21"/>
      <c r="I19" s="22"/>
      <c r="J19" s="22"/>
      <c r="K19" s="22"/>
      <c r="L19" s="22"/>
      <c r="M19" s="22"/>
      <c r="N19" s="22"/>
      <c r="O19" s="22"/>
      <c r="P19" s="22"/>
      <c r="Q19" s="22"/>
      <c r="R19" s="22"/>
      <c r="S19" s="22"/>
      <c r="T19" s="22"/>
      <c r="U19" s="22"/>
      <c r="V19" s="22"/>
      <c r="W19" s="22"/>
    </row>
    <row r="20" spans="4:23">
      <c r="D20" s="23" t="s">
        <v>453</v>
      </c>
      <c r="E20" s="23"/>
      <c r="F20" s="23"/>
      <c r="G20" s="24" t="s">
        <v>454</v>
      </c>
      <c r="H20" s="24"/>
      <c r="I20" s="25" t="s">
        <v>455</v>
      </c>
      <c r="J20" s="25"/>
      <c r="K20" s="25"/>
      <c r="L20" s="25"/>
      <c r="M20" s="25"/>
      <c r="N20" s="25"/>
      <c r="O20" s="25"/>
      <c r="P20" s="25"/>
      <c r="Q20" s="25"/>
      <c r="R20" s="25"/>
      <c r="S20" s="25"/>
      <c r="T20" s="25"/>
      <c r="U20" s="25"/>
      <c r="V20" s="25"/>
      <c r="W20" s="25"/>
    </row>
    <row r="21" spans="4:23">
      <c r="D21" s="23"/>
      <c r="E21" s="23"/>
      <c r="F21" s="23"/>
      <c r="G21" s="24" t="s">
        <v>456</v>
      </c>
      <c r="H21" s="24"/>
      <c r="I21" s="25" t="s">
        <v>457</v>
      </c>
      <c r="J21" s="25"/>
      <c r="K21" s="25"/>
      <c r="L21" s="25"/>
      <c r="M21" s="25"/>
      <c r="N21" s="25"/>
      <c r="O21" s="25"/>
      <c r="P21" s="25"/>
      <c r="Q21" s="25"/>
      <c r="R21" s="25"/>
      <c r="S21" s="25"/>
      <c r="T21" s="25"/>
      <c r="U21" s="25"/>
      <c r="V21" s="25"/>
      <c r="W21" s="25"/>
    </row>
    <row r="22" spans="4:23">
      <c r="D22" s="26" t="s">
        <v>458</v>
      </c>
      <c r="E22" s="26"/>
      <c r="F22" s="26"/>
      <c r="G22" s="24" t="s">
        <v>459</v>
      </c>
      <c r="H22" s="24"/>
      <c r="I22" s="25" t="s">
        <v>460</v>
      </c>
      <c r="J22" s="25"/>
      <c r="K22" s="25"/>
      <c r="L22" s="25"/>
      <c r="M22" s="25"/>
      <c r="N22" s="25"/>
      <c r="O22" s="25"/>
      <c r="P22" s="25"/>
      <c r="Q22" s="25"/>
      <c r="R22" s="25"/>
      <c r="S22" s="25"/>
      <c r="T22" s="25"/>
      <c r="U22" s="25"/>
      <c r="V22" s="25"/>
      <c r="W22" s="25"/>
    </row>
    <row r="23" spans="4:23">
      <c r="D23" s="26"/>
      <c r="E23" s="26"/>
      <c r="F23" s="26"/>
      <c r="G23" s="24" t="s">
        <v>461</v>
      </c>
      <c r="H23" s="24"/>
      <c r="I23" s="25" t="s">
        <v>462</v>
      </c>
      <c r="J23" s="25"/>
      <c r="K23" s="25"/>
      <c r="L23" s="25"/>
      <c r="M23" s="25"/>
      <c r="N23" s="25"/>
      <c r="O23" s="25"/>
      <c r="P23" s="25"/>
      <c r="Q23" s="25"/>
      <c r="R23" s="25"/>
      <c r="S23" s="25"/>
      <c r="T23" s="25"/>
      <c r="U23" s="25"/>
      <c r="V23" s="25"/>
      <c r="W23" s="25"/>
    </row>
    <row r="24" spans="4:23">
      <c r="D24" s="23" t="s">
        <v>463</v>
      </c>
      <c r="E24" s="23"/>
      <c r="F24" s="23"/>
      <c r="G24" s="24" t="s">
        <v>464</v>
      </c>
      <c r="H24" s="24"/>
      <c r="I24" s="25" t="s">
        <v>465</v>
      </c>
      <c r="J24" s="25"/>
      <c r="K24" s="25"/>
      <c r="L24" s="25"/>
      <c r="M24" s="25"/>
      <c r="N24" s="25"/>
      <c r="O24" s="25"/>
      <c r="P24" s="25"/>
      <c r="Q24" s="25"/>
      <c r="R24" s="25"/>
      <c r="S24" s="25"/>
      <c r="T24" s="25"/>
      <c r="U24" s="25"/>
      <c r="V24" s="25"/>
      <c r="W24" s="25"/>
    </row>
  </sheetData>
  <mergeCells count="27">
    <mergeCell ref="D15:F15"/>
    <mergeCell ref="G15:H15"/>
    <mergeCell ref="J15:U15"/>
    <mergeCell ref="V15:W15"/>
    <mergeCell ref="G20:H20"/>
    <mergeCell ref="I20:W20"/>
    <mergeCell ref="G21:H21"/>
    <mergeCell ref="I21:W21"/>
    <mergeCell ref="G22:H22"/>
    <mergeCell ref="I22:W22"/>
    <mergeCell ref="G23:H23"/>
    <mergeCell ref="I23:W23"/>
    <mergeCell ref="D24:F24"/>
    <mergeCell ref="G24:H24"/>
    <mergeCell ref="I24:W24"/>
    <mergeCell ref="A1:B2"/>
    <mergeCell ref="A3:B4"/>
    <mergeCell ref="A5:B6"/>
    <mergeCell ref="A7:B8"/>
    <mergeCell ref="D12:W14"/>
    <mergeCell ref="D16:F19"/>
    <mergeCell ref="G16:H19"/>
    <mergeCell ref="I16:U19"/>
    <mergeCell ref="V16:W19"/>
    <mergeCell ref="D20:F21"/>
    <mergeCell ref="D22:F23"/>
    <mergeCell ref="A9:B10"/>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5</vt:i4>
      </vt:variant>
    </vt:vector>
  </HeadingPairs>
  <TitlesOfParts>
    <vt:vector size="5" baseType="lpstr">
      <vt:lpstr>Reflections2026</vt:lpstr>
      <vt:lpstr>JungMentalModels</vt:lpstr>
      <vt:lpstr>AcademicModels</vt:lpstr>
      <vt:lpstr>3Articles4JapCultural</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panjun</dc:creator>
  <cp:lastModifiedBy>潘俊</cp:lastModifiedBy>
  <dcterms:created xsi:type="dcterms:W3CDTF">2026-09-19T06:30:00Z</dcterms:created>
  <dcterms:modified xsi:type="dcterms:W3CDTF">2026-10-04T20:44:56Z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004880101E9590EB99B99F6AF5731059_41</vt:lpwstr>
  </property>
  <property fmtid="{D5CDD505-2E9C-101B-9397-08002B2CF9AE}" pid="3" name="KSOProductBuildVer">
    <vt:lpwstr>2052-12.1.25205.25205</vt:lpwstr>
  </property>
  <property fmtid="{D5CDD505-2E9C-101B-9397-08002B2CF9AE}" pid="4" name="CalculationRule">
    <vt:i4>1</vt:i4>
  </property>
</Properties>
</file>